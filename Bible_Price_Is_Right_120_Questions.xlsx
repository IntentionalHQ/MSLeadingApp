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773c42383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Bank" sheetId="1" r:id="Rda3b81e03d6b4db7"/>
    <x:sheet xmlns:r="http://schemas.openxmlformats.org/officeDocument/2006/relationships" name="Host View" sheetId="2" r:id="R5770e3a0e0654906"/>
    <x:sheet xmlns:r="http://schemas.openxmlformats.org/officeDocument/2006/relationships" name="Inputs &amp; Rules" sheetId="3" r:id="R08064b3213b3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$#,##0.00"/>
    <x:numFmt numFmtId="202" formatCode="0"/>
  </x:numFmts>
  <x:fonts count="11">
    <x:font>
      <x:sz val="11"/>
      <x:name val="Carlito"/>
    </x:font>
    <x:font>
      <x:b/>
      <x:sz val="11"/>
      <x:color rgb="FFFFFFFF"/>
      <x:name val="Carlito"/>
    </x:font>
    <x:font>
      <x:sz val="9"/>
      <x:color rgb="FF305496"/>
      <x:name val="Carlito"/>
    </x:font>
    <x:font>
      <x:b/>
      <x:sz val="11"/>
      <x:name val="Carlito"/>
    </x:font>
    <x:font>
      <x:b/>
      <x:sz val="11"/>
      <x:color rgb="FF1F4E78"/>
      <x:name val="Carlito"/>
    </x:font>
    <x:font>
      <x:b/>
      <x:sz val="16"/>
      <x:color rgb="FFFFFFFF"/>
      <x:name val="Carlito"/>
    </x:font>
    <x:font>
      <x:b/>
      <x:sz val="13"/>
      <x:color rgb="FF000000"/>
      <x:name val="Carlito"/>
    </x:font>
    <x:font>
      <x:b/>
      <x:sz val="17"/>
      <x:color rgb="FFFFFFFF"/>
      <x:name val="Carlito"/>
    </x:font>
    <x:font>
      <x:b/>
      <x:sz val="12"/>
      <x:name val="Carlito"/>
    </x:font>
    <x:font>
      <x:b/>
      <x:sz val="16"/>
      <x:name val="Carlito"/>
    </x:font>
    <x:font>
      <x:b/>
      <x:sz val="1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D9EAD3"/>
      </x:patternFill>
    </x:fill>
    <x:fill>
      <x:patternFill patternType="solid">
        <x:fgColor rgb="FFD6B656"/>
      </x:patternFill>
    </x:fill>
    <x:fill>
      <x:patternFill patternType="solid">
        <x:fgColor rgb="FFF2F2F2"/>
      </x:patternFill>
    </x:fill>
  </x:fills>
  <x:borders count="18">
    <x:border/>
    <x:border/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top/>
    </x:border>
    <x:border>
      <x:left/>
    </x:border>
    <x:border>
      <x:right/>
    </x:border>
    <x:border>
      <x:bottom/>
    </x:border>
    <x:border>
      <x:top/>
    </x:border>
    <x:border>
      <x:left/>
    </x:border>
    <x:border>
      <x:right/>
    </x:border>
    <x:border>
      <x:bottom/>
    </x:border>
  </x:borders>
  <x:cellStyleXfs count="1">
    <x:xf numFmtId="0" fontId="0" fillId="0" borderId="0"/>
  </x:cellStyleXfs>
  <x:cellXfs count="2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horizontal="center" vertical="top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horizontal="center" vertical="top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top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horizontal="center" vertical="top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horizontal="center" vertical="top"/>
    </x:xf>
    <x:xf numFmtId="0" fontId="0" fillId="6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201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/>
    </x:xf>
    <x:xf numFmtId="0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201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vertical="top" wrapText="1"/>
    </x:xf>
    <x:xf numFmtId="201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horizontal="center" vertical="top"/>
    </x:xf>
    <x:xf numFmtId="0" fontId="0" fillId="8" borderId="1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201" fontId="0" fillId="8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/>
    </x:xf>
    <x:xf numFmtId="0" fontId="4" fillId="4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horizontal="center" vertical="top"/>
    </x:xf>
    <x:xf numFmtId="0" fontId="4" fillId="6" borderId="0" xfId="0" applyNumberFormat="1" applyFont="1" applyFill="1" applyBorder="1" applyAlignment="1">
      <x:alignment horizontal="center" vertical="top"/>
    </x:xf>
    <x:xf numFmtId="0" fontId="4" fillId="7" borderId="0" xfId="0" applyNumberFormat="1" applyFont="1" applyFill="1" applyBorder="1" applyAlignment="1">
      <x:alignment horizontal="center" vertical="top"/>
    </x:xf>
    <x:xf numFmtId="0" fontId="4" fillId="8" borderId="0" xfId="0" applyNumberFormat="1" applyFont="1" applyFill="1" applyBorder="1" applyAlignment="1">
      <x:alignment horizontal="center" vertical="top"/>
    </x:xf>
    <x:xf numFmtId="0" fontId="4" fillId="3" borderId="1" xfId="0" applyNumberFormat="1" applyFont="1" applyFill="1" applyBorder="1" applyAlignment="1">
      <x:alignment horizontal="center" vertical="top"/>
    </x:xf>
    <x:xf numFmtId="0" fontId="4" fillId="4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 vertical="top"/>
    </x:xf>
    <x:xf numFmtId="0" fontId="4" fillId="6" borderId="1" xfId="0" applyNumberFormat="1" applyFont="1" applyFill="1" applyBorder="1" applyAlignment="1">
      <x:alignment horizontal="center" vertical="top"/>
    </x:xf>
    <x:xf numFmtId="0" fontId="4" fillId="7" borderId="1" xfId="0" applyNumberFormat="1" applyFont="1" applyFill="1" applyBorder="1" applyAlignment="1">
      <x:alignment horizontal="center" vertical="top"/>
    </x:xf>
    <x:xf numFmtId="0" fontId="4" fillId="8" borderId="1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horizont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horizont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8" borderId="0" xfId="0" applyNumberFormat="1" applyFont="1" applyFill="1" applyBorder="1"/>
    <x:xf numFmtId="0" fontId="0" fillId="8" borderId="0" xfId="0" applyNumberFormat="1" applyFont="1" applyFill="1" applyBorder="1"/>
    <x:xf numFmtId="201" fontId="3" fillId="8" borderId="0" xfId="0" applyNumberFormat="1" applyFont="1" applyFill="1" applyBorder="1"/>
    <x:xf numFmtId="0" fontId="3" fillId="8" borderId="0" xfId="0" applyNumberFormat="1" applyFont="1" applyFill="1" applyBorder="1"/>
    <x:xf numFmtId="201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/>
    </x:xf>
    <x:xf numFmtId="201" fontId="0" fillId="8" borderId="1" xfId="0" applyNumberFormat="1" applyFont="1" applyFill="1" applyBorder="1"/>
    <x:xf numFmtId="0" fontId="0" fillId="8" borderId="1" xfId="0" applyNumberFormat="1" applyFont="1" applyFill="1" applyBorder="1"/>
    <x:xf numFmtId="201" fontId="3" fillId="8" borderId="1" xfId="0" applyNumberFormat="1" applyFont="1" applyFill="1" applyBorder="1"/>
    <x:xf numFmtId="0" fontId="3" fillId="8" borderId="1" xfId="0" applyNumberFormat="1" applyFont="1" applyFill="1" applyBorder="1"/>
    <x:xf numFmtId="201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wrapText="1"/>
    </x:xf>
    <x:xf numFmtId="201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wrapText="1"/>
    </x:xf>
    <x:xf numFmtId="201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horizontal="center" wrapText="1"/>
    </x:xf>
    <x:xf numFmtId="0" fontId="3" fillId="9" borderId="4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horizontal="center" wrapText="1"/>
    </x:xf>
    <x:xf numFmtId="0" fontId="3" fillId="9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horizontal="center" wrapText="1"/>
    </x:xf>
    <x:xf numFmtId="0" fontId="3" fillId="9" borderId="8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9" fillId="4" borderId="11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 applyAlignment="1">
      <x:alignment horizontal="center" vertical="center" wrapText="1"/>
    </x:xf>
    <x:xf numFmtId="0" fontId="9" fillId="4" borderId="4" xfId="0" applyNumberFormat="1" applyFont="1" applyFill="1" applyBorder="1" applyAlignment="1">
      <x:alignment horizontal="center" vertical="center" wrapText="1"/>
    </x:xf>
    <x:xf numFmtId="0" fontId="9" fillId="4" borderId="13" xfId="0" applyNumberFormat="1" applyFont="1" applyFill="1" applyBorder="1" applyAlignment="1">
      <x:alignment horizontal="center" vertical="center" wrapText="1"/>
    </x:xf>
    <x:xf numFmtId="0" fontId="9" fillId="4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9" fillId="4" borderId="15" xfId="0" applyNumberFormat="1" applyFont="1" applyFill="1" applyBorder="1" applyAlignment="1">
      <x:alignment horizontal="center" vertical="center" wrapText="1"/>
    </x:xf>
    <x:xf numFmtId="0" fontId="9" fillId="4" borderId="16" xfId="0" applyNumberFormat="1" applyFont="1" applyFill="1" applyBorder="1" applyAlignment="1">
      <x:alignment horizontal="center" vertical="center" wrapText="1"/>
    </x:xf>
    <x:xf numFmtId="0" fontId="9" fillId="4" borderId="8" xfId="0" applyNumberFormat="1" applyFont="1" applyFill="1" applyBorder="1" applyAlignment="1">
      <x:alignment horizontal="center" vertical="center" wrapText="1"/>
    </x:xf>
    <x:xf numFmtId="0" fontId="9" fillId="4" borderId="17" xfId="0" applyNumberFormat="1" applyFont="1" applyFill="1" applyBorder="1" applyAlignment="1">
      <x:alignment horizontal="center" vertical="center" wrapText="1"/>
    </x:xf>
    <x:xf numFmtId="0" fontId="9" fillId="4" borderId="9" xfId="0" applyNumberFormat="1" applyFont="1" applyFill="1" applyBorder="1" applyAlignment="1">
      <x:alignment horizontal="center" vertical="center" wrapText="1"/>
    </x:xf>
    <x:xf numFmtId="0" fontId="3" fillId="10" borderId="4" xfId="0" applyNumberFormat="1" applyFont="1" applyFill="1" applyBorder="1" applyAlignment="1">
      <x:alignment horizontal="center" wrapText="1"/>
    </x:xf>
    <x:xf numFmtId="0" fontId="3" fillId="10" borderId="13" xfId="0" applyNumberFormat="1" applyFont="1" applyFill="1" applyBorder="1" applyAlignment="1">
      <x:alignment horizontal="center" wrapText="1"/>
    </x:xf>
    <x:xf numFmtId="0" fontId="3" fillId="10" borderId="5" xfId="0" applyNumberFormat="1" applyFont="1" applyFill="1" applyBorder="1" applyAlignment="1">
      <x:alignment horizontal="center" wrapText="1"/>
    </x:xf>
    <x:xf numFmtId="0" fontId="3" fillId="10" borderId="8" xfId="0" applyNumberFormat="1" applyFont="1" applyFill="1" applyBorder="1" applyAlignment="1">
      <x:alignment horizontal="center" wrapText="1"/>
    </x:xf>
    <x:xf numFmtId="0" fontId="3" fillId="10" borderId="17" xfId="0" applyNumberFormat="1" applyFont="1" applyFill="1" applyBorder="1" applyAlignment="1">
      <x:alignment horizontal="center" wrapText="1"/>
    </x:xf>
    <x:xf numFmtId="0" fontId="3" fillId="10" borderId="9" xfId="0" applyNumberFormat="1" applyFont="1" applyFill="1" applyBorder="1" applyAlignment="1">
      <x:alignment horizontal="center" wrapText="1"/>
    </x:xf>
    <x:xf numFmtId="0" fontId="10" fillId="5" borderId="11" xfId="0" applyNumberFormat="1" applyFont="1" applyFill="1" applyBorder="1" applyAlignment="1">
      <x:alignment horizontal="center" vertical="center" wrapText="1"/>
    </x:xf>
    <x:xf numFmtId="0" fontId="10" fillId="5" borderId="12" xfId="0" applyNumberFormat="1" applyFont="1" applyFill="1" applyBorder="1" applyAlignment="1">
      <x:alignment horizontal="center" vertical="center" wrapText="1"/>
    </x:xf>
    <x:xf numFmtId="0" fontId="10" fillId="5" borderId="4" xfId="0" applyNumberFormat="1" applyFont="1" applyFill="1" applyBorder="1" applyAlignment="1">
      <x:alignment horizontal="center" vertical="center" wrapText="1"/>
    </x:xf>
    <x:xf numFmtId="0" fontId="10" fillId="5" borderId="13" xfId="0" applyNumberFormat="1" applyFont="1" applyFill="1" applyBorder="1" applyAlignment="1">
      <x:alignment horizontal="center" vertical="center" wrapText="1"/>
    </x:xf>
    <x:xf numFmtId="0" fontId="10" fillId="5" borderId="5" xfId="0" applyNumberFormat="1" applyFont="1" applyFill="1" applyBorder="1" applyAlignment="1">
      <x:alignment horizontal="center" vertical="center" wrapText="1"/>
    </x:xf>
    <x:xf numFmtId="0" fontId="10" fillId="5" borderId="15" xfId="0" applyNumberFormat="1" applyFont="1" applyFill="1" applyBorder="1" applyAlignment="1">
      <x:alignment horizontal="center" vertical="center" wrapText="1"/>
    </x:xf>
    <x:xf numFmtId="0" fontId="10" fillId="5" borderId="16" xfId="0" applyNumberFormat="1" applyFont="1" applyFill="1" applyBorder="1" applyAlignment="1">
      <x:alignment horizontal="center" vertical="center" wrapText="1"/>
    </x:xf>
    <x:xf numFmtId="0" fontId="10" fillId="5" borderId="8" xfId="0" applyNumberFormat="1" applyFont="1" applyFill="1" applyBorder="1" applyAlignment="1">
      <x:alignment horizontal="center" vertical="center" wrapText="1"/>
    </x:xf>
    <x:xf numFmtId="0" fontId="10" fillId="5" borderId="17" xfId="0" applyNumberFormat="1" applyFont="1" applyFill="1" applyBorder="1" applyAlignment="1">
      <x:alignment horizontal="center" vertical="center" wrapText="1"/>
    </x:xf>
    <x:xf numFmtId="0" fontId="10" fillId="5" borderId="9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wrapText="1"/>
    </x:xf>
    <x:xf numFmtId="0" fontId="3" fillId="7" borderId="13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8" xfId="0" applyNumberFormat="1" applyFont="1" applyFill="1" applyBorder="1" applyAlignment="1">
      <x:alignment horizontal="center" wrapText="1"/>
    </x:xf>
    <x:xf numFmtId="0" fontId="3" fillId="7" borderId="17" xfId="0" applyNumberFormat="1" applyFont="1" applyFill="1" applyBorder="1" applyAlignment="1">
      <x:alignment horizontal="center" wrapText="1"/>
    </x:xf>
    <x:xf numFmtId="0" fontId="3" fillId="7" borderId="9" xfId="0" applyNumberFormat="1" applyFont="1" applyFill="1" applyBorder="1" applyAlignment="1">
      <x:alignment horizontal="center" wrapText="1"/>
    </x:xf>
    <x:xf numFmtId="201" fontId="3" fillId="8" borderId="4" xfId="0" applyNumberFormat="1" applyFont="1" applyFill="1" applyBorder="1" applyAlignment="1">
      <x:alignment horizontal="center" wrapText="1"/>
    </x:xf>
    <x:xf numFmtId="201" fontId="3" fillId="8" borderId="13" xfId="0" applyNumberFormat="1" applyFont="1" applyFill="1" applyBorder="1" applyAlignment="1">
      <x:alignment horizontal="center" wrapText="1"/>
    </x:xf>
    <x:xf numFmtId="0" fontId="3" fillId="8" borderId="13" xfId="0" applyNumberFormat="1" applyFont="1" applyFill="1" applyBorder="1" applyAlignment="1">
      <x:alignment horizontal="center" wrapText="1"/>
    </x:xf>
    <x:xf numFmtId="0" fontId="3" fillId="8" borderId="5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24f08a0c2428e" /><Relationship Type="http://schemas.openxmlformats.org/officeDocument/2006/relationships/theme" Target="/xl/theme/theme1.xml" Id="Rdd645c061b504ed8" /><Relationship Type="http://schemas.openxmlformats.org/officeDocument/2006/relationships/sharedStrings" Target="/xl/sharedStrings.xml" Id="R5532cadc81eb4447" /><Relationship Type="http://schemas.openxmlformats.org/officeDocument/2006/relationships/worksheet" Target="/xl/worksheets/sheet1.xml" Id="Rda3b81e03d6b4db7" /><Relationship Type="http://schemas.openxmlformats.org/officeDocument/2006/relationships/worksheet" Target="/xl/worksheets/sheet2.xml" Id="R5770e3a0e0654906" /><Relationship Type="http://schemas.openxmlformats.org/officeDocument/2006/relationships/worksheet" Target="/xl/worksheets/sheet3.xml" Id="R08064b3213b3420c" /></Relationships>
</file>

<file path=xl/tables/table1.xml><?xml version="1.0" encoding="utf-8"?>
<x:table xmlns:x="http://schemas.openxmlformats.org/spreadsheetml/2006/main" id="1" name="BiblePriceIsRightTable" displayName="BiblePriceIsRightTable" ref="A1:N121" headerRowCount="1">
  <x:tableColumns count="14">
    <x:tableColumn id="1" name="#"/>
    <x:tableColumn id="2" name="Category"/>
    <x:tableColumn id="3" name="Question"/>
    <x:tableColumn id="4" name="Host Answer"/>
    <x:tableColumn id="5" name="Accepted Answer / Range"/>
    <x:tableColumn id="6" name="Background"/>
    <x:tableColumn id="7" name="Reference 1"/>
    <x:tableColumn id="8" name="Reference 2"/>
    <x:tableColumn id="9" name="Fact Type"/>
    <x:tableColumn id="10" name="Numeric Target"/>
    <x:tableColumn id="11" name="Unit"/>
    <x:tableColumn id="12" name="Source URL"/>
    <x:tableColumn id="13" name="Formula Result"/>
    <x:tableColumn id="14" name="Formula Un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58d6c0aaa94d11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46" hidden="0" customWidth="1"/>
    <x:col min="4" max="4" width="34" hidden="0" customWidth="1"/>
    <x:col min="5" max="5" width="28" hidden="0" customWidth="1"/>
    <x:col min="6" max="6" width="54" hidden="0" customWidth="1"/>
    <x:col min="7" max="7" width="20" hidden="0" customWidth="1"/>
    <x:col min="8" max="8" width="20" hidden="0" customWidth="1"/>
    <x:col min="9" max="9" width="26" hidden="0" customWidth="1"/>
    <x:col min="10" max="10" width="15" hidden="0" customWidth="1"/>
    <x:col min="11" max="11" width="16" hidden="0" customWidth="1"/>
    <x:col min="12" max="12" width="42" hidden="0" customWidth="1"/>
    <x:col min="13" max="13" width="18" hidden="0" customWidth="1"/>
    <x:col min="14" max="14" width="14" hidden="0" customWidth="1"/>
  </x:cols>
  <x:sheetData>
    <x:row r="1" ht="34" customHeight="1">
      <x:c r="A1" s="6" t="str">
        <x:v>#</x:v>
      </x:c>
      <x:c r="B1" s="6" t="str">
        <x:v>Category</x:v>
      </x:c>
      <x:c r="C1" s="6" t="str">
        <x:v>Question</x:v>
      </x:c>
      <x:c r="D1" s="6" t="str">
        <x:v>Host Answer</x:v>
      </x:c>
      <x:c r="E1" s="6" t="str">
        <x:v>Accepted Answer / Range</x:v>
      </x:c>
      <x:c r="F1" s="6" t="str">
        <x:v>Background</x:v>
      </x:c>
      <x:c r="G1" s="6" t="str">
        <x:v>Reference 1</x:v>
      </x:c>
      <x:c r="H1" s="6" t="str">
        <x:v>Reference 2</x:v>
      </x:c>
      <x:c r="I1" s="6" t="str">
        <x:v>Fact Type</x:v>
      </x:c>
      <x:c r="J1" s="6" t="str">
        <x:v>Numeric Target</x:v>
      </x:c>
      <x:c r="K1" s="6" t="str">
        <x:v>Unit</x:v>
      </x:c>
      <x:c r="L1" s="6" t="str">
        <x:v>Source URL</x:v>
      </x:c>
      <x:c r="M1" s="6" t="str">
        <x:v>Formula Result</x:v>
      </x:c>
      <x:c r="N1" s="6" t="str">
        <x:v>Formula Unit</x:v>
      </x:c>
    </x:row>
    <x:row r="2" ht="58" customHeight="1">
      <x:c r="A2" s="94" t="n">
        <x:v>1</x:v>
      </x:c>
      <x:c r="B2" s="23" t="str">
        <x:v>Money &amp; Value</x:v>
      </x:c>
      <x:c r="C2" s="23" t="str">
        <x:v>How much did one biblical talent weigh?</x:v>
      </x:c>
      <x:c r="D2" s="23" t="str">
        <x:v>About 75 pounds (34 kilograms).</x:v>
      </x:c>
      <x:c r="E2" s="23" t="str">
        <x:v>70–80 lb</x:v>
      </x:c>
      <x:c r="F2" s="23" t="str">
        <x:v>A talent was primarily a large unit of weight used for metals, not a single coin. A common classroom conversion is 3,000 shekels or about 34 kg.</x:v>
      </x:c>
      <x:c r="G2" s="82" t="str">
        <x:v>Exodus 38:24–26</x:v>
      </x:c>
      <x:c r="H2" s="82" t="str">
        <x:v>2 Samuel 12:30</x:v>
      </x:c>
      <x:c r="I2" s="23" t="str">
        <x:v>Historical conversion</x:v>
      </x:c>
      <x:c r="J2" s="24" t="n">
        <x:v>75</x:v>
      </x:c>
      <x:c r="K2" s="23" t="str">
        <x:v>lb</x:v>
      </x:c>
      <x:c r="L2" s="70" t="str">
        <x:v>https://www.reuters.com/world/india/gold-track-biggest-weekly-loss-six-iran-war-fans-inflation-worries-2026-07-17/; https://www.julianspriggs.co.uk/pages/TalentConverter; https://www.biblegateway.com/resources/encyclopedia-of-the-bible/Weights-Measures</x:v>
      </x:c>
      <x:c r="M2" s="25"/>
      <x:c r="N2" s="23"/>
    </x:row>
    <x:row r="3" ht="58" customHeight="1">
      <x:c r="A3" s="94" t="n">
        <x:v>2</x:v>
      </x:c>
      <x:c r="B3" s="23" t="str">
        <x:v>Money &amp; Value</x:v>
      </x:c>
      <x:c r="C3" s="23" t="str">
        <x:v>Using the workbook's gold price, what is one talent of gold worth in raw metal?</x:v>
      </x:c>
      <x:c r="D3" s="23" t="str">
        <x:v>Calculated from the editable Inputs sheet.</x:v>
      </x:c>
      <x:c r="E3" s="23" t="str">
        <x:v>Within 5% of Formula Result</x:v>
      </x:c>
      <x:c r="F3" s="23" t="str">
        <x:v>This is raw modern metal value, not ancient purchasing power. The workbook assumes a 34 kg talent.</x:v>
      </x:c>
      <x:c r="G3" s="82" t="str">
        <x:v>Exodus 25:39</x:v>
      </x:c>
      <x:c r="H3" s="82" t="str">
        <x:v>1 Kings 9:28</x:v>
      </x:c>
      <x:c r="I3" s="23" t="str">
        <x:v>Modern-value estimate</x:v>
      </x:c>
      <x:c r="J3" s="24"/>
      <x:c r="K3" s="23" t="str">
        <x:v>USD</x:v>
      </x:c>
      <x:c r="L3" s="70" t="str">
        <x:v>https://www.reuters.com/world/india/gold-track-biggest-weekly-loss-six-iran-war-fans-inflation-worries-2026-07-17/; https://www.julianspriggs.co.uk/pages/TalentConverter; https://www.biblegateway.com/resources/encyclopedia-of-the-bible/Weights-Measures</x:v>
      </x:c>
      <x:c r="M3" s="25" t="n">
        <x:f>'Inputs &amp; Rules'!$B$4*'Inputs &amp; Rules'!$B$6*'Inputs &amp; Rules'!$B$9</x:f>
        <x:v>4384842.923189876</x:v>
      </x:c>
      <x:c r="N3" s="23" t="str">
        <x:v>USD</x:v>
      </x:c>
    </x:row>
    <x:row r="4" ht="58" customHeight="1">
      <x:c r="A4" s="94" t="n">
        <x:v>3</x:v>
      </x:c>
      <x:c r="B4" s="23" t="str">
        <x:v>Money &amp; Value</x:v>
      </x:c>
      <x:c r="C4" s="23" t="str">
        <x:v>Using the workbook's silver price, what is one talent of silver worth in raw metal?</x:v>
      </x:c>
      <x:c r="D4" s="23" t="str">
        <x:v>Calculated from the editable Inputs sheet.</x:v>
      </x:c>
      <x:c r="E4" s="23" t="str">
        <x:v>Within 5% of Formula Result</x:v>
      </x:c>
      <x:c r="F4" s="23" t="str">
        <x:v>This is raw modern metal value. Silver was much less valuable than gold but was frequently used for payment and tribute.</x:v>
      </x:c>
      <x:c r="G4" s="82" t="str">
        <x:v>2 Kings 5:5</x:v>
      </x:c>
      <x:c r="H4" s="82" t="str">
        <x:v>Matthew 18:24</x:v>
      </x:c>
      <x:c r="I4" s="23" t="str">
        <x:v>Modern-value estimate</x:v>
      </x:c>
      <x:c r="J4" s="24"/>
      <x:c r="K4" s="23" t="str">
        <x:v>USD</x:v>
      </x:c>
      <x:c r="L4" s="70" t="str">
        <x:v>https://www.reuters.com/world/india/gold-track-biggest-weekly-loss-six-iran-war-fans-inflation-worries-2026-07-17/; https://www.julianspriggs.co.uk/pages/TalentConverter; https://www.biblegateway.com/resources/encyclopedia-of-the-bible/Weights-Measures</x:v>
      </x:c>
      <x:c r="M4" s="25" t="n">
        <x:f>'Inputs &amp; Rules'!$B$5*'Inputs &amp; Rules'!$B$6*'Inputs &amp; Rules'!$B$9</x:f>
        <x:v>61280.609049463994</x:v>
      </x:c>
      <x:c r="N4" s="23" t="str">
        <x:v>USD</x:v>
      </x:c>
    </x:row>
    <x:row r="5" ht="58" customHeight="1">
      <x:c r="A5" s="94" t="n">
        <x:v>4</x:v>
      </x:c>
      <x:c r="B5" s="23" t="str">
        <x:v>Money &amp; Value</x:v>
      </x:c>
      <x:c r="C5" s="23" t="str">
        <x:v>Using the workbook's gold price, what is one gold shekel worth in raw metal?</x:v>
      </x:c>
      <x:c r="D5" s="23" t="str">
        <x:v>Calculated from the editable Inputs sheet.</x:v>
      </x:c>
      <x:c r="E5" s="23" t="str">
        <x:v>Within 5% of Formula Result</x:v>
      </x:c>
      <x:c r="F5" s="23" t="str">
        <x:v>A shekel began as a unit of weight. The workbook derives its weight from one talent divided by 3,000 shekels.</x:v>
      </x:c>
      <x:c r="G5" s="82" t="str">
        <x:v>Joshua 7:21</x:v>
      </x:c>
      <x:c r="H5" s="82" t="str">
        <x:v>2 Samuel 24:24</x:v>
      </x:c>
      <x:c r="I5" s="23" t="str">
        <x:v>Modern-value estimate</x:v>
      </x:c>
      <x:c r="J5" s="24"/>
      <x:c r="K5" s="23" t="str">
        <x:v>USD</x:v>
      </x:c>
      <x:c r="L5" s="70" t="str">
        <x:v>https://www.reuters.com/world/india/gold-track-biggest-weekly-loss-six-iran-war-fans-inflation-worries-2026-07-17/; https://www.julianspriggs.co.uk/pages/TalentConverter; https://www.biblegateway.com/resources/encyclopedia-of-the-bible/Weights-Measures</x:v>
      </x:c>
      <x:c r="M5" s="25" t="n">
        <x:f>'Inputs &amp; Rules'!$B$4*('Inputs &amp; Rules'!$B$8/1000)*'Inputs &amp; Rules'!$B$9</x:f>
        <x:v>1461.6143077299585</x:v>
      </x:c>
      <x:c r="N5" s="23" t="str">
        <x:v>USD</x:v>
      </x:c>
    </x:row>
    <x:row r="6" ht="58" customHeight="1">
      <x:c r="A6" s="94" t="n">
        <x:v>5</x:v>
      </x:c>
      <x:c r="B6" s="23" t="str">
        <x:v>Money &amp; Value</x:v>
      </x:c>
      <x:c r="C6" s="23" t="str">
        <x:v>Using the workbook's silver price, what is one silver shekel worth in raw metal?</x:v>
      </x:c>
      <x:c r="D6" s="23" t="str">
        <x:v>Calculated from the editable Inputs sheet.</x:v>
      </x:c>
      <x:c r="E6" s="23" t="str">
        <x:v>Within 5% of Formula Result</x:v>
      </x:c>
      <x:c r="F6" s="23" t="str">
        <x:v>The exact weight of a shekel varied, so the workbook uses a consistent classroom assumption.</x:v>
      </x:c>
      <x:c r="G6" s="82" t="str">
        <x:v>Genesis 23:16</x:v>
      </x:c>
      <x:c r="H6" s="82" t="str">
        <x:v>Exodus 30:13</x:v>
      </x:c>
      <x:c r="I6" s="23" t="str">
        <x:v>Modern-value estimate</x:v>
      </x:c>
      <x:c r="J6" s="24"/>
      <x:c r="K6" s="23" t="str">
        <x:v>USD</x:v>
      </x:c>
      <x:c r="L6" s="70" t="str">
        <x:v>https://www.reuters.com/world/india/gold-track-biggest-weekly-loss-six-iran-war-fans-inflation-worries-2026-07-17/; https://www.julianspriggs.co.uk/pages/TalentConverter; https://www.biblegateway.com/resources/encyclopedia-of-the-bible/Weights-Measures</x:v>
      </x:c>
      <x:c r="M6" s="25" t="n">
        <x:f>'Inputs &amp; Rules'!$B$5*('Inputs &amp; Rules'!$B$8/1000)*'Inputs &amp; Rules'!$B$9</x:f>
        <x:v>20.426869683154667</x:v>
      </x:c>
      <x:c r="N6" s="23" t="str">
        <x:v>USD</x:v>
      </x:c>
    </x:row>
    <x:row r="7" ht="58" customHeight="1">
      <x:c r="A7" s="94" t="n">
        <x:v>6</x:v>
      </x:c>
      <x:c r="B7" s="23" t="str">
        <x:v>Money &amp; Value</x:v>
      </x:c>
      <x:c r="C7" s="23" t="str">
        <x:v>If Judas's 30 pieces of silver were 30 silver shekels, what is their raw silver value today?</x:v>
      </x:c>
      <x:c r="D7" s="23" t="str">
        <x:v>Calculated from the editable Inputs sheet.</x:v>
      </x:c>
      <x:c r="E7" s="23" t="str">
        <x:v>Within 5% of Formula Result</x:v>
      </x:c>
      <x:c r="F7" s="23" t="str">
        <x:v>The identification of the pieces as shekels is a common reconstruction, not stated directly in Matthew. The biblical meaning is greater than the raw metal price.</x:v>
      </x:c>
      <x:c r="G7" s="82" t="str">
        <x:v>Zechariah 11:12–13</x:v>
      </x:c>
      <x:c r="H7" s="82" t="str">
        <x:v>Matthew 26:14–16</x:v>
      </x:c>
      <x:c r="I7" s="23" t="str">
        <x:v>Modern-value estimate</x:v>
      </x:c>
      <x:c r="J7" s="24"/>
      <x:c r="K7" s="23" t="str">
        <x:v>USD</x:v>
      </x:c>
      <x:c r="L7" s="70" t="str">
        <x:v>https://www.reuters.com/world/india/gold-track-biggest-weekly-loss-six-iran-war-fans-inflation-worries-2026-07-17/; https://www.julianspriggs.co.uk/pages/TalentConverter; https://www.biblegateway.com/resources/encyclopedia-of-the-bible/Weights-Measures</x:v>
      </x:c>
      <x:c r="M7" s="25" t="n">
        <x:f>30*'Inputs &amp; Rules'!$B$5*('Inputs &amp; Rules'!$B$8/1000)*'Inputs &amp; Rules'!$B$9</x:f>
        <x:v>612.8060904946401</x:v>
      </x:c>
      <x:c r="N7" s="23" t="str">
        <x:v>USD</x:v>
      </x:c>
    </x:row>
    <x:row r="8" ht="58" customHeight="1">
      <x:c r="A8" s="94" t="n">
        <x:v>7</x:v>
      </x:c>
      <x:c r="B8" s="23" t="str">
        <x:v>Money &amp; Value</x:v>
      </x:c>
      <x:c r="C8" s="23" t="str">
        <x:v>How many talents of gold did Solomon receive in one year?</x:v>
      </x:c>
      <x:c r="D8" s="23" t="str">
        <x:v>666 talents.</x:v>
      </x:c>
      <x:c r="E8" s="23" t="str">
        <x:v>Exact: 666</x:v>
      </x:c>
      <x:c r="F8" s="23" t="str">
        <x:v>The text presents this annual gold income as part of Solomon's extraordinary wealth.</x:v>
      </x:c>
      <x:c r="G8" s="82" t="str">
        <x:v>1 Kings 10:14</x:v>
      </x:c>
      <x:c r="H8" s="82" t="str">
        <x:v>2 Chronicles 9:13</x:v>
      </x:c>
      <x:c r="I8" s="23" t="str">
        <x:v>Exact biblical number</x:v>
      </x:c>
      <x:c r="J8" s="24" t="n">
        <x:v>666</x:v>
      </x:c>
      <x:c r="K8" s="23" t="str">
        <x:v>talents</x:v>
      </x:c>
      <x:c r="L8" s="70" t="str">
        <x:v>https://www.biblegateway.com/passage/?search=1%20Kings%2010%3A14%3B%202%20Chronicles%209%3A13&amp;version=ESV</x:v>
      </x:c>
      <x:c r="M8" s="25" t="n">
        <x:f>666*'Inputs &amp; Rules'!$B$4*'Inputs &amp; Rules'!$B$6*'Inputs &amp; Rules'!$B$9</x:f>
        <x:v>2920305386.8444576</x:v>
      </x:c>
      <x:c r="N8" s="23" t="str">
        <x:v>USD raw gold</x:v>
      </x:c>
    </x:row>
    <x:row r="9" ht="58" customHeight="1">
      <x:c r="A9" s="94" t="n">
        <x:v>8</x:v>
      </x:c>
      <x:c r="B9" s="23" t="str">
        <x:v>Money &amp; Value</x:v>
      </x:c>
      <x:c r="C9" s="23" t="str">
        <x:v>How many talents of gold did the Queen of Sheba give Solomon?</x:v>
      </x:c>
      <x:c r="D9" s="23" t="str">
        <x:v>120 talents.</x:v>
      </x:c>
      <x:c r="E9" s="23" t="str">
        <x:v>Exact: 120</x:v>
      </x:c>
      <x:c r="F9" s="23" t="str">
        <x:v>The Queen of Sheba also brought spices and precious stones.</x:v>
      </x:c>
      <x:c r="G9" s="82" t="str">
        <x:v>1 Kings 10:10</x:v>
      </x:c>
      <x:c r="H9" s="82" t="str">
        <x:v>2 Chronicles 9:9</x:v>
      </x:c>
      <x:c r="I9" s="23" t="str">
        <x:v>Exact biblical number</x:v>
      </x:c>
      <x:c r="J9" s="24" t="n">
        <x:v>120</x:v>
      </x:c>
      <x:c r="K9" s="23" t="str">
        <x:v>talents</x:v>
      </x:c>
      <x:c r="L9" s="70" t="str">
        <x:v>https://www.biblegateway.com/passage/?search=1%20Kings%2010%3A10%3B%202%20Chronicles%209%3A9&amp;version=ESV</x:v>
      </x:c>
      <x:c r="M9" s="25" t="n">
        <x:f>120*'Inputs &amp; Rules'!$B$4*'Inputs &amp; Rules'!$B$6*'Inputs &amp; Rules'!$B$9</x:f>
        <x:v>526181150.78278506</x:v>
      </x:c>
      <x:c r="N9" s="23" t="str">
        <x:v>USD raw gold</x:v>
      </x:c>
    </x:row>
    <x:row r="10" ht="58" customHeight="1">
      <x:c r="A10" s="94" t="n">
        <x:v>9</x:v>
      </x:c>
      <x:c r="B10" s="23" t="str">
        <x:v>Money &amp; Value</x:v>
      </x:c>
      <x:c r="C10" s="23" t="str">
        <x:v>How many talents of gold did Solomon's fleet bring from Ophir in 1 Kings?</x:v>
      </x:c>
      <x:c r="D10" s="23" t="str">
        <x:v>420 talents.</x:v>
      </x:c>
      <x:c r="E10" s="23" t="str">
        <x:v>Exact: 420; note 450 in 2 Chronicles</x:v>
      </x:c>
      <x:c r="F10" s="23" t="str">
        <x:v>First Kings reports 420 talents, while 2 Chronicles 8:18 reports 450. Use 420 because the question specifies 1 Kings.</x:v>
      </x:c>
      <x:c r="G10" s="82" t="str">
        <x:v>1 Kings 9:28</x:v>
      </x:c>
      <x:c r="H10" s="82" t="str">
        <x:v>2 Chronicles 8:18</x:v>
      </x:c>
      <x:c r="I10" s="23" t="str">
        <x:v>Textual parallel difference</x:v>
      </x:c>
      <x:c r="J10" s="24" t="n">
        <x:v>420</x:v>
      </x:c>
      <x:c r="K10" s="23" t="str">
        <x:v>talents</x:v>
      </x:c>
      <x:c r="L10" s="70" t="str">
        <x:v>https://www.biblegateway.com/passage/?search=1%20Kings%209%3A28%3B%202%20Chronicles%208%3A18&amp;version=ESV</x:v>
      </x:c>
      <x:c r="M10" s="25" t="n">
        <x:f>420*'Inputs &amp; Rules'!$B$4*'Inputs &amp; Rules'!$B$6*'Inputs &amp; Rules'!$B$9</x:f>
        <x:v>1841634027.739748</x:v>
      </x:c>
      <x:c r="N10" s="23" t="str">
        <x:v>USD raw gold</x:v>
      </x:c>
    </x:row>
    <x:row r="11" ht="58" customHeight="1">
      <x:c r="A11" s="94" t="n">
        <x:v>10</x:v>
      </x:c>
      <x:c r="B11" s="23" t="str">
        <x:v>Money &amp; Value</x:v>
      </x:c>
      <x:c r="C11" s="23" t="str">
        <x:v>How many talents of gold did David personally dedicate for the Temple?</x:v>
      </x:c>
      <x:c r="D11" s="23" t="str">
        <x:v>3,000 talents.</x:v>
      </x:c>
      <x:c r="E11" s="23" t="str">
        <x:v>Exact: 3,000</x:v>
      </x:c>
      <x:c r="F11" s="23" t="str">
        <x:v>David said this gift came from his personal treasure in addition to what he had already prepared.</x:v>
      </x:c>
      <x:c r="G11" s="82" t="str">
        <x:v>1 Chronicles 29:3–4</x:v>
      </x:c>
      <x:c r="H11" s="82" t="str">
        <x:v>1 Chronicles 29:7</x:v>
      </x:c>
      <x:c r="I11" s="23" t="str">
        <x:v>Exact biblical number</x:v>
      </x:c>
      <x:c r="J11" s="24" t="n">
        <x:v>3000</x:v>
      </x:c>
      <x:c r="K11" s="23" t="str">
        <x:v>talents</x:v>
      </x:c>
      <x:c r="L11" s="70" t="str">
        <x:v>https://www.biblegateway.com/passage/?search=1%20Chronicles%2029%3A3%E2%80%934%3B%201%20Chronicles%2029%3A7&amp;version=ESV</x:v>
      </x:c>
      <x:c r="M11" s="25" t="n">
        <x:f>3000*'Inputs &amp; Rules'!$B$4*'Inputs &amp; Rules'!$B$6*'Inputs &amp; Rules'!$B$9</x:f>
        <x:v>13154528769.569628</x:v>
      </x:c>
      <x:c r="N11" s="23" t="str">
        <x:v>USD raw gold</x:v>
      </x:c>
    </x:row>
    <x:row r="12" ht="58" customHeight="1">
      <x:c r="A12" s="94" t="n">
        <x:v>11</x:v>
      </x:c>
      <x:c r="B12" s="23" t="str">
        <x:v>Money &amp; Value</x:v>
      </x:c>
      <x:c r="C12" s="23" t="str">
        <x:v>How many talents of silver did David personally dedicate for the Temple?</x:v>
      </x:c>
      <x:c r="D12" s="23" t="str">
        <x:v>7,000 talents.</x:v>
      </x:c>
      <x:c r="E12" s="23" t="str">
        <x:v>Exact: 7,000</x:v>
      </x:c>
      <x:c r="F12" s="23" t="str">
        <x:v>The gift was intended for overlaying the walls of the Temple structures.</x:v>
      </x:c>
      <x:c r="G12" s="82" t="str">
        <x:v>1 Chronicles 29:3–4</x:v>
      </x:c>
      <x:c r="H12" s="82" t="str">
        <x:v>1 Chronicles 29:7</x:v>
      </x:c>
      <x:c r="I12" s="23" t="str">
        <x:v>Exact biblical number</x:v>
      </x:c>
      <x:c r="J12" s="24" t="n">
        <x:v>7000</x:v>
      </x:c>
      <x:c r="K12" s="23" t="str">
        <x:v>talents</x:v>
      </x:c>
      <x:c r="L12" s="70" t="str">
        <x:v>https://www.biblegateway.com/passage/?search=1%20Chronicles%2029%3A3%E2%80%934%3B%201%20Chronicles%2029%3A7&amp;version=ESV</x:v>
      </x:c>
      <x:c r="M12" s="25" t="n">
        <x:f>7000*'Inputs &amp; Rules'!$B$5*'Inputs &amp; Rules'!$B$6*'Inputs &amp; Rules'!$B$9</x:f>
        <x:v>428964263.346248</x:v>
      </x:c>
      <x:c r="N12" s="23" t="str">
        <x:v>USD raw silver</x:v>
      </x:c>
    </x:row>
    <x:row r="13" ht="58" customHeight="1">
      <x:c r="A13" s="94" t="n">
        <x:v>12</x:v>
      </x:c>
      <x:c r="B13" s="23" t="str">
        <x:v>Money &amp; Value</x:v>
      </x:c>
      <x:c r="C13" s="23" t="str">
        <x:v>How many talents of silver did Haman offer the king?</x:v>
      </x:c>
      <x:c r="D13" s="23" t="str">
        <x:v>10,000 talents.</x:v>
      </x:c>
      <x:c r="E13" s="23" t="str">
        <x:v>Exact: 10,000</x:v>
      </x:c>
      <x:c r="F13" s="23" t="str">
        <x:v>Haman offered the enormous payment in connection with his plan to destroy the Jewish people.</x:v>
      </x:c>
      <x:c r="G13" s="82" t="str">
        <x:v>Esther 3:8–9</x:v>
      </x:c>
      <x:c r="H13" s="82" t="str">
        <x:v>Esther 4:7</x:v>
      </x:c>
      <x:c r="I13" s="23" t="str">
        <x:v>Exact biblical number</x:v>
      </x:c>
      <x:c r="J13" s="24" t="n">
        <x:v>10000</x:v>
      </x:c>
      <x:c r="K13" s="23" t="str">
        <x:v>talents</x:v>
      </x:c>
      <x:c r="L13" s="70" t="str">
        <x:v>https://www.biblegateway.com/passage/?search=Esther%203%3A8%E2%80%939%3B%20Esther%204%3A7&amp;version=ESV</x:v>
      </x:c>
      <x:c r="M13" s="25" t="n">
        <x:f>10000*'Inputs &amp; Rules'!$B$5*'Inputs &amp; Rules'!$B$6*'Inputs &amp; Rules'!$B$9</x:f>
        <x:v>612806090.49464</x:v>
      </x:c>
      <x:c r="N13" s="23" t="str">
        <x:v>USD raw silver</x:v>
      </x:c>
    </x:row>
    <x:row r="14" ht="58" customHeight="1">
      <x:c r="A14" s="94" t="n">
        <x:v>13</x:v>
      </x:c>
      <x:c r="B14" s="23" t="str">
        <x:v>Money &amp; Value</x:v>
      </x:c>
      <x:c r="C14" s="23" t="str">
        <x:v>How many talents of gold did Assyria demand from Hezekiah?</x:v>
      </x:c>
      <x:c r="D14" s="23" t="str">
        <x:v>30 talents.</x:v>
      </x:c>
      <x:c r="E14" s="23" t="str">
        <x:v>Exact: 30</x:v>
      </x:c>
      <x:c r="F14" s="23" t="str">
        <x:v>Hezekiah stripped gold from the Temple doors and doorposts to help pay the demand.</x:v>
      </x:c>
      <x:c r="G14" s="82" t="str">
        <x:v>2 Kings 18:14–16</x:v>
      </x:c>
      <x:c r="H14" s="82" t="str">
        <x:v>Isaiah 36:1</x:v>
      </x:c>
      <x:c r="I14" s="23" t="str">
        <x:v>Exact biblical number</x:v>
      </x:c>
      <x:c r="J14" s="24" t="n">
        <x:v>30</x:v>
      </x:c>
      <x:c r="K14" s="23" t="str">
        <x:v>talents</x:v>
      </x:c>
      <x:c r="L14" s="70" t="str">
        <x:v>https://www.biblegateway.com/passage/?search=2%20Kings%2018%3A14%E2%80%9316%3B%20Isaiah%2036%3A1&amp;version=ESV</x:v>
      </x:c>
      <x:c r="M14" s="25" t="n">
        <x:f>30*'Inputs &amp; Rules'!$B$4*'Inputs &amp; Rules'!$B$6*'Inputs &amp; Rules'!$B$9</x:f>
        <x:v>131545287.69569626</x:v>
      </x:c>
      <x:c r="N14" s="23" t="str">
        <x:v>USD raw gold</x:v>
      </x:c>
    </x:row>
    <x:row r="15" ht="58" customHeight="1">
      <x:c r="A15" s="94" t="n">
        <x:v>14</x:v>
      </x:c>
      <x:c r="B15" s="23" t="str">
        <x:v>Money &amp; Value</x:v>
      </x:c>
      <x:c r="C15" s="23" t="str">
        <x:v>How many talents of silver did Assyria demand from Hezekiah?</x:v>
      </x:c>
      <x:c r="D15" s="23" t="str">
        <x:v>300 talents.</x:v>
      </x:c>
      <x:c r="E15" s="23" t="str">
        <x:v>Exact: 300</x:v>
      </x:c>
      <x:c r="F15" s="23" t="str">
        <x:v>The silver demand was ten times the number of gold talents demanded.</x:v>
      </x:c>
      <x:c r="G15" s="82" t="str">
        <x:v>2 Kings 18:14</x:v>
      </x:c>
      <x:c r="H15" s="82" t="str">
        <x:v>2 Chronicles 32:1</x:v>
      </x:c>
      <x:c r="I15" s="23" t="str">
        <x:v>Exact biblical number</x:v>
      </x:c>
      <x:c r="J15" s="24" t="n">
        <x:v>300</x:v>
      </x:c>
      <x:c r="K15" s="23" t="str">
        <x:v>talents</x:v>
      </x:c>
      <x:c r="L15" s="70" t="str">
        <x:v>https://www.biblegateway.com/passage/?search=2%20Kings%2018%3A14%3B%202%20Chronicles%2032%3A1&amp;version=ESV</x:v>
      </x:c>
      <x:c r="M15" s="25" t="n">
        <x:f>300*'Inputs &amp; Rules'!$B$5*'Inputs &amp; Rules'!$B$6*'Inputs &amp; Rules'!$B$9</x:f>
        <x:v>18384182.714839198</x:v>
      </x:c>
      <x:c r="N15" s="23" t="str">
        <x:v>USD raw silver</x:v>
      </x:c>
    </x:row>
    <x:row r="16" ht="58" customHeight="1">
      <x:c r="A16" s="94" t="n">
        <x:v>15</x:v>
      </x:c>
      <x:c r="B16" s="23" t="str">
        <x:v>Money &amp; Value</x:v>
      </x:c>
      <x:c r="C16" s="23" t="str">
        <x:v>How many shekels made one mina in Ezekiel's standard?</x:v>
      </x:c>
      <x:c r="D16" s="23" t="str">
        <x:v>60 shekels.</x:v>
      </x:c>
      <x:c r="E16" s="23" t="str">
        <x:v>Exact: 60</x:v>
      </x:c>
      <x:c r="F16" s="23" t="str">
        <x:v>Ancient systems varied, but Ezekiel explicitly defines a mina as 60 shekels in this passage.</x:v>
      </x:c>
      <x:c r="G16" s="82" t="str">
        <x:v>Ezekiel 45:12</x:v>
      </x:c>
      <x:c r="H16" s="82" t="str">
        <x:v>Ezra 2:69</x:v>
      </x:c>
      <x:c r="I16" s="23" t="str">
        <x:v>Biblical unit definition</x:v>
      </x:c>
      <x:c r="J16" s="24" t="n">
        <x:v>60</x:v>
      </x:c>
      <x:c r="K16" s="23" t="str">
        <x:v>shekels</x:v>
      </x:c>
      <x:c r="L16" s="70" t="str">
        <x:v>https://www.biblegateway.com/resources/encyclopedia-of-the-bible/Weights-Measures</x:v>
      </x:c>
      <x:c r="M16" s="25" t="n">
        <x:f>60*'Inputs &amp; Rules'!$B$5*('Inputs &amp; Rules'!$B$8/1000)*'Inputs &amp; Rules'!$B$9</x:f>
        <x:v>1225.6121809892802</x:v>
      </x:c>
      <x:c r="N16" s="23" t="str">
        <x:v>USD raw silver</x:v>
      </x:c>
    </x:row>
    <x:row r="17" ht="58" customHeight="1">
      <x:c r="A17" s="94" t="n">
        <x:v>16</x:v>
      </x:c>
      <x:c r="B17" s="23" t="str">
        <x:v>Money &amp; Value</x:v>
      </x:c>
      <x:c r="C17" s="23" t="str">
        <x:v>About how much labor did one denarius normally represent in Jesus's parables?</x:v>
      </x:c>
      <x:c r="D17" s="23" t="str">
        <x:v>About one day's wage.</x:v>
      </x:c>
      <x:c r="E17" s="23" t="str">
        <x:v>Exact concept: 1 day</x:v>
      </x:c>
      <x:c r="F17" s="23" t="str">
        <x:v>Workers in the vineyard agreed to work for one denarius for the day.</x:v>
      </x:c>
      <x:c r="G17" s="82" t="str">
        <x:v>Matthew 20:1–2</x:v>
      </x:c>
      <x:c r="H17" s="82" t="str">
        <x:v>Revelation 6:6</x:v>
      </x:c>
      <x:c r="I17" s="23" t="str">
        <x:v>Historical economic context</x:v>
      </x:c>
      <x:c r="J17" s="24" t="n">
        <x:v>1</x:v>
      </x:c>
      <x:c r="K17" s="23" t="str">
        <x:v>day's wage</x:v>
      </x:c>
      <x:c r="L17" s="70" t="str">
        <x:v>https://www.biblegateway.com/passage/?search=Matthew%2020%3A1%E2%80%932%3B%20Revelation%206%3A6&amp;version=ESV</x:v>
      </x:c>
      <x:c r="M17" s="25"/>
      <x:c r="N17" s="23"/>
    </x:row>
    <x:row r="18" ht="58" customHeight="1">
      <x:c r="A18" s="94" t="n">
        <x:v>17</x:v>
      </x:c>
      <x:c r="B18" s="23" t="str">
        <x:v>Money &amp; Value</x:v>
      </x:c>
      <x:c r="C18" s="23" t="str">
        <x:v>How many days' wages was the perfume poured on Jesus estimated to be worth?</x:v>
      </x:c>
      <x:c r="D18" s="23" t="str">
        <x:v>More than 300 days' wages.</x:v>
      </x:c>
      <x:c r="E18" s="23" t="str">
        <x:v>300–365 days</x:v>
      </x:c>
      <x:c r="F18" s="23" t="str">
        <x:v>The perfume was valued at more than 300 denarii, nearly a laborer's annual income.</x:v>
      </x:c>
      <x:c r="G18" s="82" t="str">
        <x:v>Mark 14:3–5</x:v>
      </x:c>
      <x:c r="H18" s="82" t="str">
        <x:v>John 12:3–5</x:v>
      </x:c>
      <x:c r="I18" s="23" t="str">
        <x:v>Exact biblical number</x:v>
      </x:c>
      <x:c r="J18" s="24" t="n">
        <x:v>300</x:v>
      </x:c>
      <x:c r="K18" s="23" t="str">
        <x:v>denarii</x:v>
      </x:c>
      <x:c r="L18" s="70" t="str">
        <x:v>https://www.biblegateway.com/passage/?search=Mark%2014%3A3%E2%80%935%3B%20John%2012%3A3%E2%80%935&amp;version=ESV</x:v>
      </x:c>
      <x:c r="M18" s="25"/>
      <x:c r="N18" s="23"/>
    </x:row>
    <x:row r="19" ht="58" customHeight="1">
      <x:c r="A19" s="94" t="n">
        <x:v>18</x:v>
      </x:c>
      <x:c r="B19" s="23" t="str">
        <x:v>Money &amp; Value</x:v>
      </x:c>
      <x:c r="C19" s="23" t="str">
        <x:v>How many days' wages did the disciples say would not buy enough bread for the 5,000?</x:v>
      </x:c>
      <x:c r="D19" s="23" t="str">
        <x:v>200 days' wages.</x:v>
      </x:c>
      <x:c r="E19" s="23" t="str">
        <x:v>Exact: 200</x:v>
      </x:c>
      <x:c r="F19" s="23" t="str">
        <x:v>Even 200 denarii would only give each person a small amount.</x:v>
      </x:c>
      <x:c r="G19" s="82" t="str">
        <x:v>Mark 6:37</x:v>
      </x:c>
      <x:c r="H19" s="82" t="str">
        <x:v>John 6:7</x:v>
      </x:c>
      <x:c r="I19" s="23" t="str">
        <x:v>Exact biblical number</x:v>
      </x:c>
      <x:c r="J19" s="24" t="n">
        <x:v>200</x:v>
      </x:c>
      <x:c r="K19" s="23" t="str">
        <x:v>denarii</x:v>
      </x:c>
      <x:c r="L19" s="70" t="str">
        <x:v>https://www.biblegateway.com/passage/?search=Mark%206%3A37%3B%20John%206%3A7&amp;version=ESV</x:v>
      </x:c>
      <x:c r="M19" s="25"/>
      <x:c r="N19" s="23"/>
    </x:row>
    <x:row r="20" ht="58" customHeight="1">
      <x:c r="A20" s="94" t="n">
        <x:v>19</x:v>
      </x:c>
      <x:c r="B20" s="23" t="str">
        <x:v>Money &amp; Value</x:v>
      </x:c>
      <x:c r="C20" s="23" t="str">
        <x:v>The widow's two small coins together equaled what fraction of a denarius?</x:v>
      </x:c>
      <x:c r="D20" s="23" t="str">
        <x:v>About 1/64 of a denarius.</x:v>
      </x:c>
      <x:c r="E20" s="23" t="str">
        <x:v>Accept 1/64 or about 1.6%</x:v>
      </x:c>
      <x:c r="F20" s="23" t="str">
        <x:v>Two lepta equaled one quadrans, one of the smallest Roman monetary amounts.</x:v>
      </x:c>
      <x:c r="G20" s="82" t="str">
        <x:v>Mark 12:41–44</x:v>
      </x:c>
      <x:c r="H20" s="82" t="str">
        <x:v>Luke 21:1–4</x:v>
      </x:c>
      <x:c r="I20" s="23" t="str">
        <x:v>Historical coin conversion</x:v>
      </x:c>
      <x:c r="J20" s="24" t="n">
        <x:v>0.015625</x:v>
      </x:c>
      <x:c r="K20" s="23" t="str">
        <x:v>denarius</x:v>
      </x:c>
      <x:c r="L20" s="70" t="str">
        <x:v>https://www.biblegateway.com/passage/?search=Mark%2012%3A41%E2%80%9344%3B%20Luke%2021%3A1%E2%80%934&amp;version=ESV</x:v>
      </x:c>
      <x:c r="M20" s="25"/>
      <x:c r="N20" s="23"/>
    </x:row>
    <x:row r="21" ht="58" customHeight="1">
      <x:c r="A21" s="94" t="n">
        <x:v>20</x:v>
      </x:c>
      <x:c r="B21" s="23" t="str">
        <x:v>Money &amp; Value</x:v>
      </x:c>
      <x:c r="C21" s="23" t="str">
        <x:v>About how many years of daily wages was the unforgiving servant's 10,000-talent debt?</x:v>
      </x:c>
      <x:c r="D21" s="23" t="str">
        <x:v>About 164,000 years.</x:v>
      </x:c>
      <x:c r="E21" s="23" t="str">
        <x:v>150,000–170,000 years</x:v>
      </x:c>
      <x:c r="F21" s="23" t="str">
        <x:v>Using the common New Testament conversion of 6,000 denarii per talent, the debt equals 60 million daily wages. Jesus used an intentionally impossible debt.</x:v>
      </x:c>
      <x:c r="G21" s="82" t="str">
        <x:v>Matthew 18:23–28</x:v>
      </x:c>
      <x:c r="H21" s="82" t="str">
        <x:v>Matthew 18:32–35</x:v>
      </x:c>
      <x:c r="I21" s="23" t="str">
        <x:v>Calculated biblical illustration</x:v>
      </x:c>
      <x:c r="J21" s="24" t="n">
        <x:v>164384</x:v>
      </x:c>
      <x:c r="K21" s="23" t="str">
        <x:v>years</x:v>
      </x:c>
      <x:c r="L21" s="70" t="str">
        <x:v>https://www.biblegateway.com/passage/?search=Matthew%2018%3A23%E2%80%9328%3B%20Matthew%2018%3A32%E2%80%9335&amp;version=ESV</x:v>
      </x:c>
      <x:c r="M21" s="25" t="n">
        <x:f>10000*'Inputs &amp; Rules'!$B$10/'Inputs &amp; Rules'!$B$11</x:f>
        <x:v>164383.56164383562</x:v>
      </x:c>
      <x:c r="N21" s="23" t="str">
        <x:v>years of daily wages</x:v>
      </x:c>
    </x:row>
    <x:row r="22" ht="58" customHeight="1">
      <x:c r="A22" s="95" t="n">
        <x:v>21</x:v>
      </x:c>
      <x:c r="B22" s="31" t="str">
        <x:v>Measurements &amp; Construction</x:v>
      </x:c>
      <x:c r="C22" s="31" t="str">
        <x:v>How long was Noah's ark?</x:v>
      </x:c>
      <x:c r="D22" s="31" t="str">
        <x:v>300 cubits, about 450 feet.</x:v>
      </x:c>
      <x:c r="E22" s="31" t="str">
        <x:v>440–460 ft</x:v>
      </x:c>
      <x:c r="F22" s="31" t="str">
        <x:v>The ark was about one and a half American football fields long.</x:v>
      </x:c>
      <x:c r="G22" s="83" t="str">
        <x:v>Genesis 6:14–16</x:v>
      </x:c>
      <x:c r="H22" s="83" t="str">
        <x:v>Genesis 7:17–18</x:v>
      </x:c>
      <x:c r="I22" s="31" t="str">
        <x:v>Converted biblical measurement</x:v>
      </x:c>
      <x:c r="J22" s="32" t="n">
        <x:v>450</x:v>
      </x:c>
      <x:c r="K22" s="31" t="str">
        <x:v>ft</x:v>
      </x:c>
      <x:c r="L22" s="71" t="str">
        <x:v>https://www.biblegateway.com/passage/?search=Genesis%206%3A14%E2%80%9316%3B%20Genesis%207%3A17%E2%80%9318&amp;version=ESV</x:v>
      </x:c>
      <x:c r="M22" s="33"/>
      <x:c r="N22" s="31"/>
    </x:row>
    <x:row r="23" ht="58" customHeight="1">
      <x:c r="A23" s="95" t="n">
        <x:v>22</x:v>
      </x:c>
      <x:c r="B23" s="31" t="str">
        <x:v>Measurements &amp; Construction</x:v>
      </x:c>
      <x:c r="C23" s="31" t="str">
        <x:v>How wide was Noah's ark?</x:v>
      </x:c>
      <x:c r="D23" s="31" t="str">
        <x:v>50 cubits, about 75 feet.</x:v>
      </x:c>
      <x:c r="E23" s="31" t="str">
        <x:v>70–80 ft</x:v>
      </x:c>
      <x:c r="F23" s="31" t="str">
        <x:v>Its length was six times its width.</x:v>
      </x:c>
      <x:c r="G23" s="83" t="str">
        <x:v>Genesis 6:15</x:v>
      </x:c>
      <x:c r="H23" s="83" t="str">
        <x:v>Genesis 7:18</x:v>
      </x:c>
      <x:c r="I23" s="31" t="str">
        <x:v>Converted biblical measurement</x:v>
      </x:c>
      <x:c r="J23" s="32" t="n">
        <x:v>75</x:v>
      </x:c>
      <x:c r="K23" s="31" t="str">
        <x:v>ft</x:v>
      </x:c>
      <x:c r="L23" s="71" t="str">
        <x:v>https://www.biblegateway.com/passage/?search=Genesis%206%3A15%3B%20Genesis%207%3A18&amp;version=ESV</x:v>
      </x:c>
      <x:c r="M23" s="33"/>
      <x:c r="N23" s="31"/>
    </x:row>
    <x:row r="24" ht="58" customHeight="1">
      <x:c r="A24" s="95" t="n">
        <x:v>23</x:v>
      </x:c>
      <x:c r="B24" s="31" t="str">
        <x:v>Measurements &amp; Construction</x:v>
      </x:c>
      <x:c r="C24" s="31" t="str">
        <x:v>How high was Noah's ark?</x:v>
      </x:c>
      <x:c r="D24" s="31" t="str">
        <x:v>30 cubits, about 45 feet.</x:v>
      </x:c>
      <x:c r="E24" s="31" t="str">
        <x:v>40–50 ft</x:v>
      </x:c>
      <x:c r="F24" s="31" t="str">
        <x:v>The ark contained lower, second and third decks.</x:v>
      </x:c>
      <x:c r="G24" s="83" t="str">
        <x:v>Genesis 6:15–16</x:v>
      </x:c>
      <x:c r="H24" s="83" t="str">
        <x:v>Genesis 7:23</x:v>
      </x:c>
      <x:c r="I24" s="31" t="str">
        <x:v>Converted biblical measurement</x:v>
      </x:c>
      <x:c r="J24" s="32" t="n">
        <x:v>45</x:v>
      </x:c>
      <x:c r="K24" s="31" t="str">
        <x:v>ft</x:v>
      </x:c>
      <x:c r="L24" s="71" t="str">
        <x:v>https://www.biblegateway.com/passage/?search=Genesis%206%3A15%E2%80%9316%3B%20Genesis%207%3A23&amp;version=ESV</x:v>
      </x:c>
      <x:c r="M24" s="33"/>
      <x:c r="N24" s="31"/>
    </x:row>
    <x:row r="25" ht="58" customHeight="1">
      <x:c r="A25" s="95" t="n">
        <x:v>24</x:v>
      </x:c>
      <x:c r="B25" s="31" t="str">
        <x:v>Measurements &amp; Construction</x:v>
      </x:c>
      <x:c r="C25" s="31" t="str">
        <x:v>How long was King Og's iron bed?</x:v>
      </x:c>
      <x:c r="D25" s="31" t="str">
        <x:v>Nine cubits, about 13.5 feet.</x:v>
      </x:c>
      <x:c r="E25" s="31" t="str">
        <x:v>13–14 ft</x:v>
      </x:c>
      <x:c r="F25" s="31" t="str">
        <x:v>The bed was also four cubits, about six feet, wide and was remembered as evidence of Og's unusual size.</x:v>
      </x:c>
      <x:c r="G25" s="83" t="str">
        <x:v>Deuteronomy 3:11</x:v>
      </x:c>
      <x:c r="H25" s="83" t="str">
        <x:v>Numbers 21:33–35</x:v>
      </x:c>
      <x:c r="I25" s="31" t="str">
        <x:v>Converted biblical measurement</x:v>
      </x:c>
      <x:c r="J25" s="32" t="n">
        <x:v>13.5</x:v>
      </x:c>
      <x:c r="K25" s="31" t="str">
        <x:v>ft</x:v>
      </x:c>
      <x:c r="L25" s="71" t="str">
        <x:v>https://www.biblegateway.com/passage/?search=Deuteronomy%203%3A11%3B%20Numbers%2021%3A33%E2%80%9335&amp;version=ESV</x:v>
      </x:c>
      <x:c r="M25" s="33"/>
      <x:c r="N25" s="31"/>
    </x:row>
    <x:row r="26" ht="58" customHeight="1">
      <x:c r="A26" s="95" t="n">
        <x:v>25</x:v>
      </x:c>
      <x:c r="B26" s="31" t="str">
        <x:v>Measurements &amp; Construction</x:v>
      </x:c>
      <x:c r="C26" s="31" t="str">
        <x:v>How tall was Goliath in the traditional Hebrew reading?</x:v>
      </x:c>
      <x:c r="D26" s="31" t="str">
        <x:v>Six cubits and a span, about 9 feet 9 inches.</x:v>
      </x:c>
      <x:c r="E26" s="31" t="str">
        <x:v>9.5–10 ft; also accept 6 ft 9 in with manuscript explanation</x:v>
      </x:c>
      <x:c r="F26" s="31" t="str">
        <x:v>Some ancient manuscripts read four cubits and a span, about 6 feet 9 inches. The traditional Masoretic reading is taller.</x:v>
      </x:c>
      <x:c r="G26" s="83" t="str">
        <x:v>1 Samuel 17:4</x:v>
      </x:c>
      <x:c r="H26" s="83" t="str">
        <x:v>1 Samuel 17:23</x:v>
      </x:c>
      <x:c r="I26" s="31" t="str">
        <x:v>Textual manuscript difference</x:v>
      </x:c>
      <x:c r="J26" s="32" t="n">
        <x:v>9.75</x:v>
      </x:c>
      <x:c r="K26" s="31" t="str">
        <x:v>ft</x:v>
      </x:c>
      <x:c r="L26" s="71" t="str">
        <x:v>https://www.biblegateway.com/passage/?search=1%20Samuel%2017%3A4%3B%201%20Samuel%2017%3A23&amp;version=ESV</x:v>
      </x:c>
      <x:c r="M26" s="33"/>
      <x:c r="N26" s="31"/>
    </x:row>
    <x:row r="27" ht="58" customHeight="1">
      <x:c r="A27" s="95" t="n">
        <x:v>26</x:v>
      </x:c>
      <x:c r="B27" s="31" t="str">
        <x:v>Measurements &amp; Construction</x:v>
      </x:c>
      <x:c r="C27" s="31" t="str">
        <x:v>How much did Goliath's iron spearhead weigh?</x:v>
      </x:c>
      <x:c r="D27" s="31" t="str">
        <x:v>600 shekels, about 15 pounds.</x:v>
      </x:c>
      <x:c r="E27" s="31" t="str">
        <x:v>14–16 lb</x:v>
      </x:c>
      <x:c r="F27" s="31" t="str">
        <x:v>This is only the iron spearhead, not the heavy wooden shaft.</x:v>
      </x:c>
      <x:c r="G27" s="83" t="str">
        <x:v>1 Samuel 17:7</x:v>
      </x:c>
      <x:c r="H27" s="83" t="str">
        <x:v>2 Samuel 21:19</x:v>
      </x:c>
      <x:c r="I27" s="31" t="str">
        <x:v>Converted biblical measurement</x:v>
      </x:c>
      <x:c r="J27" s="32" t="n">
        <x:v>15</x:v>
      </x:c>
      <x:c r="K27" s="31" t="str">
        <x:v>lb</x:v>
      </x:c>
      <x:c r="L27" s="71" t="str">
        <x:v>https://www.biblegateway.com/passage/?search=1%20Samuel%2017%3A7%3B%202%20Samuel%2021%3A19&amp;version=ESV</x:v>
      </x:c>
      <x:c r="M27" s="33"/>
      <x:c r="N27" s="31"/>
    </x:row>
    <x:row r="28" ht="58" customHeight="1">
      <x:c r="A28" s="95" t="n">
        <x:v>27</x:v>
      </x:c>
      <x:c r="B28" s="31" t="str">
        <x:v>Measurements &amp; Construction</x:v>
      </x:c>
      <x:c r="C28" s="31" t="str">
        <x:v>How long was Solomon's Temple building?</x:v>
      </x:c>
      <x:c r="D28" s="31" t="str">
        <x:v>60 cubits, about 90 feet.</x:v>
      </x:c>
      <x:c r="E28" s="31" t="str">
        <x:v>85–95 ft</x:v>
      </x:c>
      <x:c r="F28" s="31" t="str">
        <x:v>This describes the main Temple structure, not the entire Temple complex.</x:v>
      </x:c>
      <x:c r="G28" s="83" t="str">
        <x:v>1 Kings 6:2</x:v>
      </x:c>
      <x:c r="H28" s="83" t="str">
        <x:v>2 Chronicles 3:3</x:v>
      </x:c>
      <x:c r="I28" s="31" t="str">
        <x:v>Converted biblical measurement</x:v>
      </x:c>
      <x:c r="J28" s="32" t="n">
        <x:v>90</x:v>
      </x:c>
      <x:c r="K28" s="31" t="str">
        <x:v>ft</x:v>
      </x:c>
      <x:c r="L28" s="71" t="str">
        <x:v>https://www.biblegateway.com/passage/?search=1%20Kings%206%3A2%3B%202%20Chronicles%203%3A3&amp;version=ESV</x:v>
      </x:c>
      <x:c r="M28" s="33"/>
      <x:c r="N28" s="31"/>
    </x:row>
    <x:row r="29" ht="58" customHeight="1">
      <x:c r="A29" s="95" t="n">
        <x:v>28</x:v>
      </x:c>
      <x:c r="B29" s="31" t="str">
        <x:v>Measurements &amp; Construction</x:v>
      </x:c>
      <x:c r="C29" s="31" t="str">
        <x:v>How wide was Solomon's Temple building?</x:v>
      </x:c>
      <x:c r="D29" s="31" t="str">
        <x:v>20 cubits, about 30 feet.</x:v>
      </x:c>
      <x:c r="E29" s="31" t="str">
        <x:v>28–32 ft</x:v>
      </x:c>
      <x:c r="F29" s="31" t="str">
        <x:v>The building was three times longer than it was wide.</x:v>
      </x:c>
      <x:c r="G29" s="83" t="str">
        <x:v>1 Kings 6:2</x:v>
      </x:c>
      <x:c r="H29" s="83" t="str">
        <x:v>2 Chronicles 3:3</x:v>
      </x:c>
      <x:c r="I29" s="31" t="str">
        <x:v>Converted biblical measurement</x:v>
      </x:c>
      <x:c r="J29" s="32" t="n">
        <x:v>30</x:v>
      </x:c>
      <x:c r="K29" s="31" t="str">
        <x:v>ft</x:v>
      </x:c>
      <x:c r="L29" s="71" t="str">
        <x:v>https://www.biblegateway.com/passage/?search=1%20Kings%206%3A2%3B%202%20Chronicles%203%3A3&amp;version=ESV</x:v>
      </x:c>
      <x:c r="M29" s="33"/>
      <x:c r="N29" s="31"/>
    </x:row>
    <x:row r="30" ht="58" customHeight="1">
      <x:c r="A30" s="95" t="n">
        <x:v>29</x:v>
      </x:c>
      <x:c r="B30" s="31" t="str">
        <x:v>Measurements &amp; Construction</x:v>
      </x:c>
      <x:c r="C30" s="31" t="str">
        <x:v>How high was Solomon's Temple building?</x:v>
      </x:c>
      <x:c r="D30" s="31" t="str">
        <x:v>30 cubits, about 45 feet.</x:v>
      </x:c>
      <x:c r="E30" s="31" t="str">
        <x:v>40–50 ft</x:v>
      </x:c>
      <x:c r="F30" s="31" t="str">
        <x:v>The interior was lined with cedar and overlaid with gold.</x:v>
      </x:c>
      <x:c r="G30" s="83" t="str">
        <x:v>1 Kings 6:2</x:v>
      </x:c>
      <x:c r="H30" s="83" t="str">
        <x:v>1 Kings 6:20–22</x:v>
      </x:c>
      <x:c r="I30" s="31" t="str">
        <x:v>Converted biblical measurement</x:v>
      </x:c>
      <x:c r="J30" s="32" t="n">
        <x:v>45</x:v>
      </x:c>
      <x:c r="K30" s="31" t="str">
        <x:v>ft</x:v>
      </x:c>
      <x:c r="L30" s="71" t="str">
        <x:v>https://www.biblegateway.com/passage/?search=1%20Kings%206%3A2%3B%201%20Kings%206%3A20%E2%80%9322&amp;version=ESV</x:v>
      </x:c>
      <x:c r="M30" s="33"/>
      <x:c r="N30" s="31"/>
    </x:row>
    <x:row r="31" ht="58" customHeight="1">
      <x:c r="A31" s="95" t="n">
        <x:v>30</x:v>
      </x:c>
      <x:c r="B31" s="31" t="str">
        <x:v>Measurements &amp; Construction</x:v>
      </x:c>
      <x:c r="C31" s="31" t="str">
        <x:v>What were the dimensions of Solomon's Most Holy Place?</x:v>
      </x:c>
      <x:c r="D31" s="31" t="str">
        <x:v>20 cubits long, wide and high: a 30-foot cube.</x:v>
      </x:c>
      <x:c r="E31" s="31" t="str">
        <x:v>20 cubits each direction</x:v>
      </x:c>
      <x:c r="F31" s="31" t="str">
        <x:v>The ark of the covenant was placed in this cubic inner room.</x:v>
      </x:c>
      <x:c r="G31" s="83" t="str">
        <x:v>1 Kings 6:20</x:v>
      </x:c>
      <x:c r="H31" s="83" t="str">
        <x:v>2 Chronicles 3:8</x:v>
      </x:c>
      <x:c r="I31" s="31" t="str">
        <x:v>Exact biblical measurement</x:v>
      </x:c>
      <x:c r="J31" s="32" t="n">
        <x:v>20</x:v>
      </x:c>
      <x:c r="K31" s="31" t="str">
        <x:v>cubits per side</x:v>
      </x:c>
      <x:c r="L31" s="71" t="str">
        <x:v>https://www.biblegateway.com/passage/?search=1%20Kings%206%3A20%3B%202%20Chronicles%203%3A8&amp;version=ESV</x:v>
      </x:c>
      <x:c r="M31" s="33"/>
      <x:c r="N31" s="31"/>
    </x:row>
    <x:row r="32" ht="58" customHeight="1">
      <x:c r="A32" s="95" t="n">
        <x:v>31</x:v>
      </x:c>
      <x:c r="B32" s="31" t="str">
        <x:v>Measurements &amp; Construction</x:v>
      </x:c>
      <x:c r="C32" s="31" t="str">
        <x:v>What was the diameter of the bronze Sea at Solomon's Temple?</x:v>
      </x:c>
      <x:c r="D32" s="31" t="str">
        <x:v>10 cubits, about 15 feet.</x:v>
      </x:c>
      <x:c r="E32" s="31" t="str">
        <x:v>14–16 ft</x:v>
      </x:c>
      <x:c r="F32" s="31" t="str">
        <x:v>The huge basin stood on twelve bronze oxen.</x:v>
      </x:c>
      <x:c r="G32" s="83" t="str">
        <x:v>1 Kings 7:23–25</x:v>
      </x:c>
      <x:c r="H32" s="83" t="str">
        <x:v>2 Chronicles 4:2–4</x:v>
      </x:c>
      <x:c r="I32" s="31" t="str">
        <x:v>Converted biblical measurement</x:v>
      </x:c>
      <x:c r="J32" s="32" t="n">
        <x:v>15</x:v>
      </x:c>
      <x:c r="K32" s="31" t="str">
        <x:v>ft</x:v>
      </x:c>
      <x:c r="L32" s="71" t="str">
        <x:v>https://www.biblegateway.com/passage/?search=1%20Kings%207%3A23%E2%80%9325%3B%202%20Chronicles%204%3A2%E2%80%934&amp;version=ESV</x:v>
      </x:c>
      <x:c r="M32" s="33"/>
      <x:c r="N32" s="31"/>
    </x:row>
    <x:row r="33" ht="58" customHeight="1">
      <x:c r="A33" s="95" t="n">
        <x:v>32</x:v>
      </x:c>
      <x:c r="B33" s="31" t="str">
        <x:v>Measurements &amp; Construction</x:v>
      </x:c>
      <x:c r="C33" s="31" t="str">
        <x:v>How much water did Solomon's bronze Sea hold?</x:v>
      </x:c>
      <x:c r="D33" s="31" t="str">
        <x:v>2,000 baths in 1 Kings; 3,000 baths in 2 Chronicles.</x:v>
      </x:c>
      <x:c r="E33" s="31" t="str">
        <x:v>Accept either with the correct reference</x:v>
      </x:c>
      <x:c r="F33" s="31" t="str">
        <x:v>The passages may describe normal capacity and maximum capacity, although Scripture does not explain the difference.</x:v>
      </x:c>
      <x:c r="G33" s="83" t="str">
        <x:v>1 Kings 7:26</x:v>
      </x:c>
      <x:c r="H33" s="83" t="str">
        <x:v>2 Chronicles 4:5</x:v>
      </x:c>
      <x:c r="I33" s="31" t="str">
        <x:v>Textual parallel difference</x:v>
      </x:c>
      <x:c r="J33" s="32" t="n">
        <x:v>2500</x:v>
      </x:c>
      <x:c r="K33" s="31" t="str">
        <x:v>baths</x:v>
      </x:c>
      <x:c r="L33" s="71" t="str">
        <x:v>https://www.biblegateway.com/passage/?search=1%20Kings%207%3A26%3B%202%20Chronicles%204%3A5&amp;version=ESV</x:v>
      </x:c>
      <x:c r="M33" s="33"/>
      <x:c r="N33" s="31"/>
    </x:row>
    <x:row r="34" ht="58" customHeight="1">
      <x:c r="A34" s="95" t="n">
        <x:v>33</x:v>
      </x:c>
      <x:c r="B34" s="31" t="str">
        <x:v>Measurements &amp; Construction</x:v>
      </x:c>
      <x:c r="C34" s="31" t="str">
        <x:v>How large was the Tabernacle courtyard?</x:v>
      </x:c>
      <x:c r="D34" s="31" t="str">
        <x:v>100 by 50 cubits, about 150 by 75 feet.</x:v>
      </x:c>
      <x:c r="E34" s="31" t="str">
        <x:v>100 × 50 cubits</x:v>
      </x:c>
      <x:c r="F34" s="31" t="str">
        <x:v>The portable sanctuary stood inside this curtained rectangular courtyard.</x:v>
      </x:c>
      <x:c r="G34" s="83" t="str">
        <x:v>Exodus 27:9–18</x:v>
      </x:c>
      <x:c r="H34" s="83" t="str">
        <x:v>Exodus 38:9–20</x:v>
      </x:c>
      <x:c r="I34" s="31" t="str">
        <x:v>Converted biblical measurement</x:v>
      </x:c>
      <x:c r="J34" s="32" t="n">
        <x:v>11250</x:v>
      </x:c>
      <x:c r="K34" s="31" t="str">
        <x:v>sq ft</x:v>
      </x:c>
      <x:c r="L34" s="71" t="str">
        <x:v>https://www.biblegateway.com/passage/?search=Exodus%2027%3A9%E2%80%9318%3B%20Exodus%2038%3A9%E2%80%9320&amp;version=ESV</x:v>
      </x:c>
      <x:c r="M34" s="33"/>
      <x:c r="N34" s="31"/>
    </x:row>
    <x:row r="35" ht="58" customHeight="1">
      <x:c r="A35" s="95" t="n">
        <x:v>34</x:v>
      </x:c>
      <x:c r="B35" s="31" t="str">
        <x:v>Measurements &amp; Construction</x:v>
      </x:c>
      <x:c r="C35" s="31" t="str">
        <x:v>How large was the bronze altar at the Tabernacle?</x:v>
      </x:c>
      <x:c r="D35" s="31" t="str">
        <x:v>Five cubits square and three cubits high: about 7.5 × 7.5 × 4.5 feet.</x:v>
      </x:c>
      <x:c r="E35" s="31" t="str">
        <x:v>5 × 5 × 3 cubits</x:v>
      </x:c>
      <x:c r="F35" s="31" t="str">
        <x:v>The altar was built of acacia wood covered with bronze.</x:v>
      </x:c>
      <x:c r="G35" s="83" t="str">
        <x:v>Exodus 27:1–8</x:v>
      </x:c>
      <x:c r="H35" s="83" t="str">
        <x:v>Exodus 38:1–7</x:v>
      </x:c>
      <x:c r="I35" s="31" t="str">
        <x:v>Converted biblical measurement</x:v>
      </x:c>
      <x:c r="J35" s="32" t="n">
        <x:v>7.5</x:v>
      </x:c>
      <x:c r="K35" s="31" t="str">
        <x:v>ft wide</x:v>
      </x:c>
      <x:c r="L35" s="71" t="str">
        <x:v>https://www.biblegateway.com/passage/?search=Exodus%2027%3A1%E2%80%938%3B%20Exodus%2038%3A1%E2%80%937&amp;version=ESV</x:v>
      </x:c>
      <x:c r="M35" s="33"/>
      <x:c r="N35" s="31"/>
    </x:row>
    <x:row r="36" ht="58" customHeight="1">
      <x:c r="A36" s="95" t="n">
        <x:v>35</x:v>
      </x:c>
      <x:c r="B36" s="31" t="str">
        <x:v>Measurements &amp; Construction</x:v>
      </x:c>
      <x:c r="C36" s="31" t="str">
        <x:v>How long was each main curtain covering the Tabernacle?</x:v>
      </x:c>
      <x:c r="D36" s="31" t="str">
        <x:v>28 cubits, about 42 feet.</x:v>
      </x:c>
      <x:c r="E36" s="31" t="str">
        <x:v>40–44 ft</x:v>
      </x:c>
      <x:c r="F36" s="31" t="str">
        <x:v>Each curtain was four cubits, about six feet, wide.</x:v>
      </x:c>
      <x:c r="G36" s="83" t="str">
        <x:v>Exodus 26:1–2</x:v>
      </x:c>
      <x:c r="H36" s="83" t="str">
        <x:v>Exodus 36:8–9</x:v>
      </x:c>
      <x:c r="I36" s="31" t="str">
        <x:v>Converted biblical measurement</x:v>
      </x:c>
      <x:c r="J36" s="32" t="n">
        <x:v>42</x:v>
      </x:c>
      <x:c r="K36" s="31" t="str">
        <x:v>ft</x:v>
      </x:c>
      <x:c r="L36" s="71" t="str">
        <x:v>https://www.biblegateway.com/passage/?search=Exodus%2026%3A1%E2%80%932%3B%20Exodus%2036%3A8%E2%80%939&amp;version=ESV</x:v>
      </x:c>
      <x:c r="M36" s="33"/>
      <x:c r="N36" s="31"/>
    </x:row>
    <x:row r="37" ht="58" customHeight="1">
      <x:c r="A37" s="95" t="n">
        <x:v>36</x:v>
      </x:c>
      <x:c r="B37" s="31" t="str">
        <x:v>Measurements &amp; Construction</x:v>
      </x:c>
      <x:c r="C37" s="31" t="str">
        <x:v>How tall was Nebuchadnezzar's gold image?</x:v>
      </x:c>
      <x:c r="D37" s="31" t="str">
        <x:v>60 cubits, about 90 feet.</x:v>
      </x:c>
      <x:c r="E37" s="31" t="str">
        <x:v>85–95 ft</x:v>
      </x:c>
      <x:c r="F37" s="31" t="str">
        <x:v>It was only six cubits wide, giving it extremely tall proportions.</x:v>
      </x:c>
      <x:c r="G37" s="83" t="str">
        <x:v>Daniel 3:1</x:v>
      </x:c>
      <x:c r="H37" s="83" t="str">
        <x:v>Daniel 3:4–6</x:v>
      </x:c>
      <x:c r="I37" s="31" t="str">
        <x:v>Converted biblical measurement</x:v>
      </x:c>
      <x:c r="J37" s="32" t="n">
        <x:v>90</x:v>
      </x:c>
      <x:c r="K37" s="31" t="str">
        <x:v>ft</x:v>
      </x:c>
      <x:c r="L37" s="71" t="str">
        <x:v>https://www.biblegateway.com/passage/?search=Daniel%203%3A1%3B%20Daniel%203%3A4%E2%80%936&amp;version=ESV</x:v>
      </x:c>
      <x:c r="M37" s="33"/>
      <x:c r="N37" s="31"/>
    </x:row>
    <x:row r="38" ht="58" customHeight="1">
      <x:c r="A38" s="95" t="n">
        <x:v>37</x:v>
      </x:c>
      <x:c r="B38" s="31" t="str">
        <x:v>Measurements &amp; Construction</x:v>
      </x:c>
      <x:c r="C38" s="31" t="str">
        <x:v>How tall was the pole or gallows Haman prepared for Mordecai?</x:v>
      </x:c>
      <x:c r="D38" s="31" t="str">
        <x:v>50 cubits, about 75 feet.</x:v>
      </x:c>
      <x:c r="E38" s="31" t="str">
        <x:v>70–80 ft</x:v>
      </x:c>
      <x:c r="F38" s="31" t="str">
        <x:v>Haman was ultimately executed on the structure he prepared for Mordecai.</x:v>
      </x:c>
      <x:c r="G38" s="83" t="str">
        <x:v>Esther 5:14</x:v>
      </x:c>
      <x:c r="H38" s="83" t="str">
        <x:v>Esther 7:9–10</x:v>
      </x:c>
      <x:c r="I38" s="31" t="str">
        <x:v>Converted biblical measurement</x:v>
      </x:c>
      <x:c r="J38" s="32" t="n">
        <x:v>75</x:v>
      </x:c>
      <x:c r="K38" s="31" t="str">
        <x:v>ft</x:v>
      </x:c>
      <x:c r="L38" s="71" t="str">
        <x:v>https://www.biblegateway.com/passage/?search=Esther%205%3A14%3B%20Esther%207%3A9%E2%80%9310&amp;version=ESV</x:v>
      </x:c>
      <x:c r="M38" s="33"/>
      <x:c r="N38" s="31"/>
    </x:row>
    <x:row r="39" ht="58" customHeight="1">
      <x:c r="A39" s="95" t="n">
        <x:v>38</x:v>
      </x:c>
      <x:c r="B39" s="31" t="str">
        <x:v>Measurements &amp; Construction</x:v>
      </x:c>
      <x:c r="C39" s="31" t="str">
        <x:v>How long was each side of the New Jerusalem in Revelation?</x:v>
      </x:c>
      <x:c r="D39" s="31" t="str">
        <x:v>12,000 stadia, roughly 1,400 miles.</x:v>
      </x:c>
      <x:c r="E39" s="31" t="str">
        <x:v>1,350–1,500 miles</x:v>
      </x:c>
      <x:c r="F39" s="31" t="str">
        <x:v>The city is described as equally long, wide and high.</x:v>
      </x:c>
      <x:c r="G39" s="83" t="str">
        <x:v>Revelation 21:15–16</x:v>
      </x:c>
      <x:c r="H39" s="83" t="str">
        <x:v>Revelation 21:2</x:v>
      </x:c>
      <x:c r="I39" s="31" t="str">
        <x:v>Converted apocalyptic measurement</x:v>
      </x:c>
      <x:c r="J39" s="32" t="n">
        <x:v>1400</x:v>
      </x:c>
      <x:c r="K39" s="31" t="str">
        <x:v>miles</x:v>
      </x:c>
      <x:c r="L39" s="71" t="str">
        <x:v>https://www.biblegateway.com/passage/?search=Revelation%2021%3A15%E2%80%9316%3B%20Revelation%2021%3A2&amp;version=ESV</x:v>
      </x:c>
      <x:c r="M39" s="33"/>
      <x:c r="N39" s="31"/>
    </x:row>
    <x:row r="40" ht="58" customHeight="1">
      <x:c r="A40" s="95" t="n">
        <x:v>39</x:v>
      </x:c>
      <x:c r="B40" s="31" t="str">
        <x:v>Measurements &amp; Construction</x:v>
      </x:c>
      <x:c r="C40" s="31" t="str">
        <x:v>How high was the New Jerusalem's wall?</x:v>
      </x:c>
      <x:c r="D40" s="31" t="str">
        <x:v>144 cubits, about 216 feet.</x:v>
      </x:c>
      <x:c r="E40" s="31" t="str">
        <x:v>205–225 ft</x:v>
      </x:c>
      <x:c r="F40" s="31" t="str">
        <x:v>This measurement describes the wall; the city itself is described on a far greater scale.</x:v>
      </x:c>
      <x:c r="G40" s="83" t="str">
        <x:v>Revelation 21:17</x:v>
      </x:c>
      <x:c r="H40" s="83" t="str">
        <x:v>Revelation 21:12–14</x:v>
      </x:c>
      <x:c r="I40" s="31" t="str">
        <x:v>Converted apocalyptic measurement</x:v>
      </x:c>
      <x:c r="J40" s="32" t="n">
        <x:v>216</x:v>
      </x:c>
      <x:c r="K40" s="31" t="str">
        <x:v>ft</x:v>
      </x:c>
      <x:c r="L40" s="71" t="str">
        <x:v>https://www.biblegateway.com/passage/?search=Revelation%2021%3A17%3B%20Revelation%2021%3A12%E2%80%9314&amp;version=ESV</x:v>
      </x:c>
      <x:c r="M40" s="33"/>
      <x:c r="N40" s="31"/>
    </x:row>
    <x:row r="41" ht="58" customHeight="1">
      <x:c r="A41" s="95" t="n">
        <x:v>40</x:v>
      </x:c>
      <x:c r="B41" s="31" t="str">
        <x:v>Measurements &amp; Construction</x:v>
      </x:c>
      <x:c r="C41" s="31" t="str">
        <x:v>How far above the mountains did the floodwaters rise?</x:v>
      </x:c>
      <x:c r="D41" s="31" t="str">
        <x:v>15 cubits, about 22.5 feet.</x:v>
      </x:c>
      <x:c r="E41" s="31" t="str">
        <x:v>20–25 ft</x:v>
      </x:c>
      <x:c r="F41" s="31" t="str">
        <x:v>Genesis emphasizes that the mountains were completely covered.</x:v>
      </x:c>
      <x:c r="G41" s="83" t="str">
        <x:v>Genesis 7:19–20</x:v>
      </x:c>
      <x:c r="H41" s="83" t="str">
        <x:v>Genesis 8:3–5</x:v>
      </x:c>
      <x:c r="I41" s="31" t="str">
        <x:v>Converted biblical measurement</x:v>
      </x:c>
      <x:c r="J41" s="32" t="n">
        <x:v>22.5</x:v>
      </x:c>
      <x:c r="K41" s="31" t="str">
        <x:v>ft</x:v>
      </x:c>
      <x:c r="L41" s="71" t="str">
        <x:v>https://www.biblegateway.com/passage/?search=Genesis%207%3A19%E2%80%9320%3B%20Genesis%208%3A3%E2%80%935&amp;version=ESV</x:v>
      </x:c>
      <x:c r="M41" s="33"/>
      <x:c r="N41" s="31"/>
    </x:row>
    <x:row r="42" ht="58" customHeight="1">
      <x:c r="A42" s="96" t="n">
        <x:v>41</x:v>
      </x:c>
      <x:c r="B42" s="39" t="str">
        <x:v>Armies, Crowds &amp; Censuses</x:v>
      </x:c>
      <x:c r="C42" s="39" t="str">
        <x:v>About how many Israelite men left Egypt on foot?</x:v>
      </x:c>
      <x:c r="D42" s="39" t="str">
        <x:v>About 600,000 men, besides women and children.</x:v>
      </x:c>
      <x:c r="E42" s="39" t="str">
        <x:v>580,000–620,000</x:v>
      </x:c>
      <x:c r="F42" s="39" t="str">
        <x:v>The total traveling population would have been considerably larger because the count excludes women and children.</x:v>
      </x:c>
      <x:c r="G42" s="84" t="str">
        <x:v>Exodus 12:37–38</x:v>
      </x:c>
      <x:c r="H42" s="84" t="str">
        <x:v>Numbers 11:21</x:v>
      </x:c>
      <x:c r="I42" s="39" t="str">
        <x:v>Rounded biblical number</x:v>
      </x:c>
      <x:c r="J42" s="40" t="n">
        <x:v>600000</x:v>
      </x:c>
      <x:c r="K42" s="39" t="str">
        <x:v>men</x:v>
      </x:c>
      <x:c r="L42" s="72" t="str">
        <x:v>https://www.biblegateway.com/passage/?search=Exodus%2012%3A37%E2%80%9338%3B%20Numbers%2011%3A21&amp;version=ESV</x:v>
      </x:c>
      <x:c r="M42" s="41"/>
      <x:c r="N42" s="39"/>
    </x:row>
    <x:row r="43" ht="58" customHeight="1">
      <x:c r="A43" s="96" t="n">
        <x:v>42</x:v>
      </x:c>
      <x:c r="B43" s="39" t="str">
        <x:v>Armies, Crowds &amp; Censuses</x:v>
      </x:c>
      <x:c r="C43" s="39" t="str">
        <x:v>How many fighting-age Israelite men were counted in the first wilderness census?</x:v>
      </x:c>
      <x:c r="D43" s="39" t="str">
        <x:v>603,550.</x:v>
      </x:c>
      <x:c r="E43" s="39" t="str">
        <x:v>Exact: 603,550</x:v>
      </x:c>
      <x:c r="F43" s="39" t="str">
        <x:v>The tribe of Levi was counted separately.</x:v>
      </x:c>
      <x:c r="G43" s="84" t="str">
        <x:v>Numbers 1:45–47</x:v>
      </x:c>
      <x:c r="H43" s="84" t="str">
        <x:v>Exodus 38:26</x:v>
      </x:c>
      <x:c r="I43" s="39" t="str">
        <x:v>Exact biblical number</x:v>
      </x:c>
      <x:c r="J43" s="40" t="n">
        <x:v>603550</x:v>
      </x:c>
      <x:c r="K43" s="39" t="str">
        <x:v>men</x:v>
      </x:c>
      <x:c r="L43" s="72" t="str">
        <x:v>https://www.biblegateway.com/passage/?search=Numbers%201%3A45%E2%80%9347%3B%20Exodus%2038%3A26&amp;version=ESV</x:v>
      </x:c>
      <x:c r="M43" s="41"/>
      <x:c r="N43" s="39"/>
    </x:row>
    <x:row r="44" ht="58" customHeight="1">
      <x:c r="A44" s="96" t="n">
        <x:v>43</x:v>
      </x:c>
      <x:c r="B44" s="39" t="str">
        <x:v>Armies, Crowds &amp; Censuses</x:v>
      </x:c>
      <x:c r="C44" s="39" t="str">
        <x:v>How many fighting-age Israelite men were counted in the second wilderness census?</x:v>
      </x:c>
      <x:c r="D44" s="39" t="str">
        <x:v>601,730.</x:v>
      </x:c>
      <x:c r="E44" s="39" t="str">
        <x:v>Exact: 601,730</x:v>
      </x:c>
      <x:c r="F44" s="39" t="str">
        <x:v>This census occurred near the end of the wilderness period before Israel entered Canaan.</x:v>
      </x:c>
      <x:c r="G44" s="84" t="str">
        <x:v>Numbers 26:1–4</x:v>
      </x:c>
      <x:c r="H44" s="84" t="str">
        <x:v>Numbers 26:51</x:v>
      </x:c>
      <x:c r="I44" s="39" t="str">
        <x:v>Exact biblical number</x:v>
      </x:c>
      <x:c r="J44" s="40" t="n">
        <x:v>601730</x:v>
      </x:c>
      <x:c r="K44" s="39" t="str">
        <x:v>men</x:v>
      </x:c>
      <x:c r="L44" s="72" t="str">
        <x:v>https://www.biblegateway.com/passage/?search=Numbers%2026%3A1%E2%80%934%3B%20Numbers%2026%3A51&amp;version=ESV</x:v>
      </x:c>
      <x:c r="M44" s="41"/>
      <x:c r="N44" s="39"/>
    </x:row>
    <x:row r="45" ht="58" customHeight="1">
      <x:c r="A45" s="96" t="n">
        <x:v>44</x:v>
      </x:c>
      <x:c r="B45" s="39" t="str">
        <x:v>Armies, Crowds &amp; Censuses</x:v>
      </x:c>
      <x:c r="C45" s="39" t="str">
        <x:v>How many male Levites one month old or older were counted?</x:v>
      </x:c>
      <x:c r="D45" s="39" t="str">
        <x:v>22,000.</x:v>
      </x:c>
      <x:c r="E45" s="39" t="str">
        <x:v>Exact: 22,000</x:v>
      </x:c>
      <x:c r="F45" s="39" t="str">
        <x:v>The Levites were counted separately because they were assigned responsibility for the Tabernacle.</x:v>
      </x:c>
      <x:c r="G45" s="84" t="str">
        <x:v>Numbers 3:14–16</x:v>
      </x:c>
      <x:c r="H45" s="84" t="str">
        <x:v>Numbers 3:39</x:v>
      </x:c>
      <x:c r="I45" s="39" t="str">
        <x:v>Exact biblical number</x:v>
      </x:c>
      <x:c r="J45" s="40" t="n">
        <x:v>22000</x:v>
      </x:c>
      <x:c r="K45" s="39" t="str">
        <x:v>males</x:v>
      </x:c>
      <x:c r="L45" s="72" t="str">
        <x:v>https://www.biblegateway.com/passage/?search=Numbers%203%3A14%E2%80%9316%3B%20Numbers%203%3A39&amp;version=ESV</x:v>
      </x:c>
      <x:c r="M45" s="41"/>
      <x:c r="N45" s="39"/>
    </x:row>
    <x:row r="46" ht="58" customHeight="1">
      <x:c r="A46" s="96" t="n">
        <x:v>45</x:v>
      </x:c>
      <x:c r="B46" s="39" t="str">
        <x:v>Armies, Crowds &amp; Censuses</x:v>
      </x:c>
      <x:c r="C46" s="39" t="str">
        <x:v>How many firstborn Israelite males were counted in the wilderness?</x:v>
      </x:c>
      <x:c r="D46" s="39" t="str">
        <x:v>22,273.</x:v>
      </x:c>
      <x:c r="E46" s="39" t="str">
        <x:v>Exact: 22,273</x:v>
      </x:c>
      <x:c r="F46" s="39" t="str">
        <x:v>Because this exceeded the number of Levites by 273, redemption money was collected for the difference.</x:v>
      </x:c>
      <x:c r="G46" s="84" t="str">
        <x:v>Numbers 3:40–43</x:v>
      </x:c>
      <x:c r="H46" s="84" t="str">
        <x:v>Numbers 3:46–51</x:v>
      </x:c>
      <x:c r="I46" s="39" t="str">
        <x:v>Exact biblical number</x:v>
      </x:c>
      <x:c r="J46" s="40" t="n">
        <x:v>22273</x:v>
      </x:c>
      <x:c r="K46" s="39" t="str">
        <x:v>males</x:v>
      </x:c>
      <x:c r="L46" s="72" t="str">
        <x:v>https://www.biblegateway.com/passage/?search=Numbers%203%3A40%E2%80%9343%3B%20Numbers%203%3A46%E2%80%9351&amp;version=ESV</x:v>
      </x:c>
      <x:c r="M46" s="41"/>
      <x:c r="N46" s="39"/>
    </x:row>
    <x:row r="47" ht="58" customHeight="1">
      <x:c r="A47" s="96" t="n">
        <x:v>46</x:v>
      </x:c>
      <x:c r="B47" s="39" t="str">
        <x:v>Armies, Crowds &amp; Censuses</x:v>
      </x:c>
      <x:c r="C47" s="39" t="str">
        <x:v>How many soldiers did Gideon originally have before anyone went home?</x:v>
      </x:c>
      <x:c r="D47" s="39" t="str">
        <x:v>32,000.</x:v>
      </x:c>
      <x:c r="E47" s="39" t="str">
        <x:v>Exact: 32,000</x:v>
      </x:c>
      <x:c r="F47" s="39" t="str">
        <x:v>Twenty-two thousand fearful men left, leaving 10,000 before the final reduction.</x:v>
      </x:c>
      <x:c r="G47" s="84" t="str">
        <x:v>Judges 7:2–3</x:v>
      </x:c>
      <x:c r="H47" s="84" t="str">
        <x:v>Judges 7:6–7</x:v>
      </x:c>
      <x:c r="I47" s="39" t="str">
        <x:v>Derived biblical number</x:v>
      </x:c>
      <x:c r="J47" s="40" t="n">
        <x:v>32000</x:v>
      </x:c>
      <x:c r="K47" s="39" t="str">
        <x:v>soldiers</x:v>
      </x:c>
      <x:c r="L47" s="72" t="str">
        <x:v>https://www.biblegateway.com/passage/?search=Judges%207%3A2%E2%80%933%3B%20Judges%207%3A6%E2%80%937&amp;version=ESV</x:v>
      </x:c>
      <x:c r="M47" s="41"/>
      <x:c r="N47" s="39"/>
    </x:row>
    <x:row r="48" ht="58" customHeight="1">
      <x:c r="A48" s="96" t="n">
        <x:v>47</x:v>
      </x:c>
      <x:c r="B48" s="39" t="str">
        <x:v>Armies, Crowds &amp; Censuses</x:v>
      </x:c>
      <x:c r="C48" s="39" t="str">
        <x:v>How many men remained in Gideon's final army?</x:v>
      </x:c>
      <x:c r="D48" s="39" t="str">
        <x:v>300.</x:v>
      </x:c>
      <x:c r="E48" s="39" t="str">
        <x:v>Exact: 300</x:v>
      </x:c>
      <x:c r="F48" s="39" t="str">
        <x:v>God deliberately reduced the army so Israel could not claim victory by its own strength.</x:v>
      </x:c>
      <x:c r="G48" s="84" t="str">
        <x:v>Judges 7:6–7</x:v>
      </x:c>
      <x:c r="H48" s="84" t="str">
        <x:v>Judges 7:19–22</x:v>
      </x:c>
      <x:c r="I48" s="39" t="str">
        <x:v>Exact biblical number</x:v>
      </x:c>
      <x:c r="J48" s="40" t="n">
        <x:v>300</x:v>
      </x:c>
      <x:c r="K48" s="39" t="str">
        <x:v>soldiers</x:v>
      </x:c>
      <x:c r="L48" s="72" t="str">
        <x:v>https://www.biblegateway.com/passage/?search=Judges%207%3A6%E2%80%937%3B%20Judges%207%3A19%E2%80%9322&amp;version=ESV</x:v>
      </x:c>
      <x:c r="M48" s="41"/>
      <x:c r="N48" s="39"/>
    </x:row>
    <x:row r="49" ht="58" customHeight="1">
      <x:c r="A49" s="96" t="n">
        <x:v>48</x:v>
      </x:c>
      <x:c r="B49" s="39" t="str">
        <x:v>Armies, Crowds &amp; Censuses</x:v>
      </x:c>
      <x:c r="C49" s="39" t="str">
        <x:v>About how large was the Midianite fighting force Gideon faced?</x:v>
      </x:c>
      <x:c r="D49" s="39" t="str">
        <x:v>About 135,000 sword-bearing men.</x:v>
      </x:c>
      <x:c r="E49" s="39" t="str">
        <x:v>130,000–140,000</x:v>
      </x:c>
      <x:c r="F49" s="39" t="str">
        <x:v>Judges says 120,000 had fallen and 15,000 remained, allowing the original force to be calculated.</x:v>
      </x:c>
      <x:c r="G49" s="84" t="str">
        <x:v>Judges 8:10</x:v>
      </x:c>
      <x:c r="H49" s="84" t="str">
        <x:v>Judges 8:4</x:v>
      </x:c>
      <x:c r="I49" s="39" t="str">
        <x:v>Derived biblical number</x:v>
      </x:c>
      <x:c r="J49" s="40" t="n">
        <x:v>135000</x:v>
      </x:c>
      <x:c r="K49" s="39" t="str">
        <x:v>soldiers</x:v>
      </x:c>
      <x:c r="L49" s="72" t="str">
        <x:v>https://www.biblegateway.com/passage/?search=Judges%208%3A10%3B%20Judges%208%3A4&amp;version=ESV</x:v>
      </x:c>
      <x:c r="M49" s="41"/>
      <x:c r="N49" s="39"/>
    </x:row>
    <x:row r="50" ht="58" customHeight="1">
      <x:c r="A50" s="96" t="n">
        <x:v>49</x:v>
      </x:c>
      <x:c r="B50" s="39" t="str">
        <x:v>Armies, Crowds &amp; Censuses</x:v>
      </x:c>
      <x:c r="C50" s="39" t="str">
        <x:v>How large was Jehoshaphat's listed army when the divisions are added together?</x:v>
      </x:c>
      <x:c r="D50" s="39" t="str">
        <x:v>1,160,000 men.</x:v>
      </x:c>
      <x:c r="E50" s="39" t="str">
        <x:v>Exact total: 1,160,000</x:v>
      </x:c>
      <x:c r="F50" s="39" t="str">
        <x:v>Second Chronicles lists five commanders with forces of 300,000, 280,000, 200,000, 200,000 and 180,000.</x:v>
      </x:c>
      <x:c r="G50" s="84" t="str">
        <x:v>2 Chronicles 17:14–18</x:v>
      </x:c>
      <x:c r="H50" s="84" t="str">
        <x:v>2 Chronicles 17:12–13</x:v>
      </x:c>
      <x:c r="I50" s="39" t="str">
        <x:v>Derived biblical number</x:v>
      </x:c>
      <x:c r="J50" s="40" t="n">
        <x:v>1160000</x:v>
      </x:c>
      <x:c r="K50" s="39" t="str">
        <x:v>soldiers</x:v>
      </x:c>
      <x:c r="L50" s="72" t="str">
        <x:v>https://www.biblegateway.com/passage/?search=2%20Chronicles%2017%3A14%E2%80%9318%3B%202%20Chronicles%2017%3A12%E2%80%9313&amp;version=ESV</x:v>
      </x:c>
      <x:c r="M50" s="41"/>
      <x:c r="N50" s="39"/>
    </x:row>
    <x:row r="51" ht="58" customHeight="1">
      <x:c r="A51" s="96" t="n">
        <x:v>50</x:v>
      </x:c>
      <x:c r="B51" s="39" t="str">
        <x:v>Armies, Crowds &amp; Censuses</x:v>
      </x:c>
      <x:c r="C51" s="39" t="str">
        <x:v>How many soldiers were in King Asa's army?</x:v>
      </x:c>
      <x:c r="D51" s="39" t="str">
        <x:v>580,000.</x:v>
      </x:c>
      <x:c r="E51" s="39" t="str">
        <x:v>Exact: 580,000</x:v>
      </x:c>
      <x:c r="F51" s="39" t="str">
        <x:v>The force included 300,000 from Judah and 280,000 from Benjamin.</x:v>
      </x:c>
      <x:c r="G51" s="84" t="str">
        <x:v>2 Chronicles 14:8</x:v>
      </x:c>
      <x:c r="H51" s="84" t="str">
        <x:v>2 Chronicles 14:11</x:v>
      </x:c>
      <x:c r="I51" s="39" t="str">
        <x:v>Exact biblical number</x:v>
      </x:c>
      <x:c r="J51" s="40" t="n">
        <x:v>580000</x:v>
      </x:c>
      <x:c r="K51" s="39" t="str">
        <x:v>soldiers</x:v>
      </x:c>
      <x:c r="L51" s="72" t="str">
        <x:v>https://www.biblegateway.com/passage/?search=2%20Chronicles%2014%3A8%3B%202%20Chronicles%2014%3A11&amp;version=ESV</x:v>
      </x:c>
      <x:c r="M51" s="41"/>
      <x:c r="N51" s="39"/>
    </x:row>
    <x:row r="52" ht="58" customHeight="1">
      <x:c r="A52" s="96" t="n">
        <x:v>51</x:v>
      </x:c>
      <x:c r="B52" s="39" t="str">
        <x:v>Armies, Crowds &amp; Censuses</x:v>
      </x:c>
      <x:c r="C52" s="39" t="str">
        <x:v>How large was Zerah the Cushite's army?</x:v>
      </x:c>
      <x:c r="D52" s="39" t="str">
        <x:v>1,000,000 men and 300 chariots.</x:v>
      </x:c>
      <x:c r="E52" s="39" t="str">
        <x:v>Exact: 1,000,000</x:v>
      </x:c>
      <x:c r="F52" s="39" t="str">
        <x:v>Asa prayed that God could help the powerless against the mighty army.</x:v>
      </x:c>
      <x:c r="G52" s="84" t="str">
        <x:v>2 Chronicles 14:9–11</x:v>
      </x:c>
      <x:c r="H52" s="84" t="str">
        <x:v>2 Chronicles 14:12–13</x:v>
      </x:c>
      <x:c r="I52" s="39" t="str">
        <x:v>Exact biblical number</x:v>
      </x:c>
      <x:c r="J52" s="40" t="n">
        <x:v>1000000</x:v>
      </x:c>
      <x:c r="K52" s="39" t="str">
        <x:v>soldiers</x:v>
      </x:c>
      <x:c r="L52" s="72" t="str">
        <x:v>https://www.biblegateway.com/passage/?search=2%20Chronicles%2014%3A9%E2%80%9311%3B%202%20Chronicles%2014%3A12%E2%80%9313&amp;version=ESV</x:v>
      </x:c>
      <x:c r="M52" s="41"/>
      <x:c r="N52" s="39"/>
    </x:row>
    <x:row r="53" ht="58" customHeight="1">
      <x:c r="A53" s="96" t="n">
        <x:v>52</x:v>
      </x:c>
      <x:c r="B53" s="39" t="str">
        <x:v>Armies, Crowds &amp; Censuses</x:v>
      </x:c>
      <x:c r="C53" s="39" t="str">
        <x:v>How many chosen warriors did Abijah bring against Jeroboam?</x:v>
      </x:c>
      <x:c r="D53" s="39" t="str">
        <x:v>400,000.</x:v>
      </x:c>
      <x:c r="E53" s="39" t="str">
        <x:v>Exact: 400,000</x:v>
      </x:c>
      <x:c r="F53" s="39" t="str">
        <x:v>Both armies are described as chosen, mighty warriors.</x:v>
      </x:c>
      <x:c r="G53" s="84" t="str">
        <x:v>2 Chronicles 13:3</x:v>
      </x:c>
      <x:c r="H53" s="84" t="str">
        <x:v>2 Chronicles 13:12</x:v>
      </x:c>
      <x:c r="I53" s="39" t="str">
        <x:v>Exact biblical number</x:v>
      </x:c>
      <x:c r="J53" s="40" t="n">
        <x:v>400000</x:v>
      </x:c>
      <x:c r="K53" s="39" t="str">
        <x:v>soldiers</x:v>
      </x:c>
      <x:c r="L53" s="72" t="str">
        <x:v>https://www.biblegateway.com/passage/?search=2%20Chronicles%2013%3A3%3B%202%20Chronicles%2013%3A12&amp;version=ESV</x:v>
      </x:c>
      <x:c r="M53" s="41"/>
      <x:c r="N53" s="39"/>
    </x:row>
    <x:row r="54" ht="58" customHeight="1">
      <x:c r="A54" s="96" t="n">
        <x:v>53</x:v>
      </x:c>
      <x:c r="B54" s="39" t="str">
        <x:v>Armies, Crowds &amp; Censuses</x:v>
      </x:c>
      <x:c r="C54" s="39" t="str">
        <x:v>How many chosen warriors did Jeroboam bring against Abijah?</x:v>
      </x:c>
      <x:c r="D54" s="39" t="str">
        <x:v>800,000.</x:v>
      </x:c>
      <x:c r="E54" s="39" t="str">
        <x:v>Exact: 800,000</x:v>
      </x:c>
      <x:c r="F54" s="39" t="str">
        <x:v>Jeroboam's army was twice the size of Abijah's.</x:v>
      </x:c>
      <x:c r="G54" s="84" t="str">
        <x:v>2 Chronicles 13:3</x:v>
      </x:c>
      <x:c r="H54" s="84" t="str">
        <x:v>2 Chronicles 13:13–15</x:v>
      </x:c>
      <x:c r="I54" s="39" t="str">
        <x:v>Exact biblical number</x:v>
      </x:c>
      <x:c r="J54" s="40" t="n">
        <x:v>800000</x:v>
      </x:c>
      <x:c r="K54" s="39" t="str">
        <x:v>soldiers</x:v>
      </x:c>
      <x:c r="L54" s="72" t="str">
        <x:v>https://www.biblegateway.com/passage/?search=2%20Chronicles%2013%3A3%3B%202%20Chronicles%2013%3A13%E2%80%9315&amp;version=ESV</x:v>
      </x:c>
      <x:c r="M54" s="41"/>
      <x:c r="N54" s="39"/>
    </x:row>
    <x:row r="55" ht="58" customHeight="1">
      <x:c r="A55" s="96" t="n">
        <x:v>54</x:v>
      </x:c>
      <x:c r="B55" s="39" t="str">
        <x:v>Armies, Crowds &amp; Censuses</x:v>
      </x:c>
      <x:c r="C55" s="39" t="str">
        <x:v>How many of Jeroboam's soldiers were struck down in the battle with Abijah?</x:v>
      </x:c>
      <x:c r="D55" s="39" t="str">
        <x:v>500,000.</x:v>
      </x:c>
      <x:c r="E55" s="39" t="str">
        <x:v>Exact: 500,000</x:v>
      </x:c>
      <x:c r="F55" s="39" t="str">
        <x:v>The passage attributes Judah's victory to reliance on the Lord.</x:v>
      </x:c>
      <x:c r="G55" s="84" t="str">
        <x:v>2 Chronicles 13:17–18</x:v>
      </x:c>
      <x:c r="H55" s="84" t="str">
        <x:v>2 Chronicles 13:3</x:v>
      </x:c>
      <x:c r="I55" s="39" t="str">
        <x:v>Exact biblical number</x:v>
      </x:c>
      <x:c r="J55" s="40" t="n">
        <x:v>500000</x:v>
      </x:c>
      <x:c r="K55" s="39" t="str">
        <x:v>soldiers</x:v>
      </x:c>
      <x:c r="L55" s="72" t="str">
        <x:v>https://www.biblegateway.com/passage/?search=2%20Chronicles%2013%3A17%E2%80%9318%3B%202%20Chronicles%2013%3A3&amp;version=ESV</x:v>
      </x:c>
      <x:c r="M55" s="41"/>
      <x:c r="N55" s="39"/>
    </x:row>
    <x:row r="56" ht="58" customHeight="1">
      <x:c r="A56" s="96" t="n">
        <x:v>55</x:v>
      </x:c>
      <x:c r="B56" s="39" t="str">
        <x:v>Armies, Crowds &amp; Censuses</x:v>
      </x:c>
      <x:c r="C56" s="39" t="str">
        <x:v>In 2 Samuel's census account, how many fighting men were counted in Israel and Judah combined?</x:v>
      </x:c>
      <x:c r="D56" s="39" t="str">
        <x:v>1,300,000.</x:v>
      </x:c>
      <x:c r="E56" s="39" t="str">
        <x:v>Exact total: 1,300,000</x:v>
      </x:c>
      <x:c r="F56" s="39" t="str">
        <x:v>Second Samuel reports 800,000 in Israel and 500,000 in Judah. First Chronicles preserves different figures.</x:v>
      </x:c>
      <x:c r="G56" s="84" t="str">
        <x:v>2 Samuel 24:9</x:v>
      </x:c>
      <x:c r="H56" s="84" t="str">
        <x:v>1 Chronicles 21:5</x:v>
      </x:c>
      <x:c r="I56" s="39" t="str">
        <x:v>Textual parallel difference</x:v>
      </x:c>
      <x:c r="J56" s="40" t="n">
        <x:v>1300000</x:v>
      </x:c>
      <x:c r="K56" s="39" t="str">
        <x:v>men</x:v>
      </x:c>
      <x:c r="L56" s="72" t="str">
        <x:v>https://www.biblegateway.com/passage/?search=2%20Samuel%2024%3A9%3B%201%20Chronicles%2021%3A5&amp;version=ESV</x:v>
      </x:c>
      <x:c r="M56" s="41"/>
      <x:c r="N56" s="39"/>
    </x:row>
    <x:row r="57" ht="58" customHeight="1">
      <x:c r="A57" s="96" t="n">
        <x:v>56</x:v>
      </x:c>
      <x:c r="B57" s="39" t="str">
        <x:v>Armies, Crowds &amp; Censuses</x:v>
      </x:c>
      <x:c r="C57" s="39" t="str">
        <x:v>How many men did Solomon conscript for forced labor?</x:v>
      </x:c>
      <x:c r="D57" s="39" t="str">
        <x:v>30,000.</x:v>
      </x:c>
      <x:c r="E57" s="39" t="str">
        <x:v>Exact: 30,000</x:v>
      </x:c>
      <x:c r="F57" s="39" t="str">
        <x:v>They worked in rotating groups: 10,000 in Lebanon for one month and two months at home.</x:v>
      </x:c>
      <x:c r="G57" s="84" t="str">
        <x:v>1 Kings 5:13–14</x:v>
      </x:c>
      <x:c r="H57" s="84" t="str">
        <x:v>1 Kings 9:20–22</x:v>
      </x:c>
      <x:c r="I57" s="39" t="str">
        <x:v>Exact biblical number</x:v>
      </x:c>
      <x:c r="J57" s="40" t="n">
        <x:v>30000</x:v>
      </x:c>
      <x:c r="K57" s="39" t="str">
        <x:v>workers</x:v>
      </x:c>
      <x:c r="L57" s="72" t="str">
        <x:v>https://www.biblegateway.com/passage/?search=1%20Kings%205%3A13%E2%80%9314%3B%201%20Kings%209%3A20%E2%80%9322&amp;version=ESV</x:v>
      </x:c>
      <x:c r="M57" s="41"/>
      <x:c r="N57" s="39"/>
    </x:row>
    <x:row r="58" ht="58" customHeight="1">
      <x:c r="A58" s="96" t="n">
        <x:v>57</x:v>
      </x:c>
      <x:c r="B58" s="39" t="str">
        <x:v>Armies, Crowds &amp; Censuses</x:v>
      </x:c>
      <x:c r="C58" s="39" t="str">
        <x:v>How many burden-bearers did Solomon have?</x:v>
      </x:c>
      <x:c r="D58" s="39" t="str">
        <x:v>70,000.</x:v>
      </x:c>
      <x:c r="E58" s="39" t="str">
        <x:v>Exact: 70,000</x:v>
      </x:c>
      <x:c r="F58" s="39" t="str">
        <x:v>These workers transported materials for Solomon's building projects.</x:v>
      </x:c>
      <x:c r="G58" s="84" t="str">
        <x:v>1 Kings 5:15</x:v>
      </x:c>
      <x:c r="H58" s="84" t="str">
        <x:v>2 Chronicles 2:2</x:v>
      </x:c>
      <x:c r="I58" s="39" t="str">
        <x:v>Exact biblical number</x:v>
      </x:c>
      <x:c r="J58" s="40" t="n">
        <x:v>70000</x:v>
      </x:c>
      <x:c r="K58" s="39" t="str">
        <x:v>workers</x:v>
      </x:c>
      <x:c r="L58" s="72" t="str">
        <x:v>https://www.biblegateway.com/passage/?search=1%20Kings%205%3A15%3B%202%20Chronicles%202%3A2&amp;version=ESV</x:v>
      </x:c>
      <x:c r="M58" s="41"/>
      <x:c r="N58" s="39"/>
    </x:row>
    <x:row r="59" ht="58" customHeight="1">
      <x:c r="A59" s="96" t="n">
        <x:v>58</x:v>
      </x:c>
      <x:c r="B59" s="39" t="str">
        <x:v>Armies, Crowds &amp; Censuses</x:v>
      </x:c>
      <x:c r="C59" s="39" t="str">
        <x:v>How many stonecutters did Solomon have in the hill country?</x:v>
      </x:c>
      <x:c r="D59" s="39" t="str">
        <x:v>80,000.</x:v>
      </x:c>
      <x:c r="E59" s="39" t="str">
        <x:v>Exact: 80,000</x:v>
      </x:c>
      <x:c r="F59" s="39" t="str">
        <x:v>They quarried and prepared stone for Solomon's construction work.</x:v>
      </x:c>
      <x:c r="G59" s="84" t="str">
        <x:v>1 Kings 5:15</x:v>
      </x:c>
      <x:c r="H59" s="84" t="str">
        <x:v>2 Chronicles 2:2</x:v>
      </x:c>
      <x:c r="I59" s="39" t="str">
        <x:v>Exact biblical number</x:v>
      </x:c>
      <x:c r="J59" s="40" t="n">
        <x:v>80000</x:v>
      </x:c>
      <x:c r="K59" s="39" t="str">
        <x:v>workers</x:v>
      </x:c>
      <x:c r="L59" s="72" t="str">
        <x:v>https://www.biblegateway.com/passage/?search=1%20Kings%205%3A15%3B%202%20Chronicles%202%3A2&amp;version=ESV</x:v>
      </x:c>
      <x:c r="M59" s="41"/>
      <x:c r="N59" s="39"/>
    </x:row>
    <x:row r="60" ht="58" customHeight="1">
      <x:c r="A60" s="96" t="n">
        <x:v>59</x:v>
      </x:c>
      <x:c r="B60" s="39" t="str">
        <x:v>Armies, Crowds &amp; Censuses</x:v>
      </x:c>
      <x:c r="C60" s="39" t="str">
        <x:v>How many chief officers supervised Solomon's workers?</x:v>
      </x:c>
      <x:c r="D60" s="39" t="str">
        <x:v>3,300 in 1 Kings; 3,600 in 2 Chronicles.</x:v>
      </x:c>
      <x:c r="E60" s="39" t="str">
        <x:v>Accept either with reference</x:v>
      </x:c>
      <x:c r="F60" s="39" t="str">
        <x:v>The parallel accounts preserve different totals, possibly reflecting different ways of grouping officials.</x:v>
      </x:c>
      <x:c r="G60" s="84" t="str">
        <x:v>1 Kings 5:16</x:v>
      </x:c>
      <x:c r="H60" s="84" t="str">
        <x:v>2 Chronicles 2:2</x:v>
      </x:c>
      <x:c r="I60" s="39" t="str">
        <x:v>Textual parallel difference</x:v>
      </x:c>
      <x:c r="J60" s="40" t="n">
        <x:v>3450</x:v>
      </x:c>
      <x:c r="K60" s="39" t="str">
        <x:v>supervisors</x:v>
      </x:c>
      <x:c r="L60" s="72" t="str">
        <x:v>https://www.biblegateway.com/passage/?search=1%20Kings%205%3A16%3B%202%20Chronicles%202%3A2&amp;version=ESV</x:v>
      </x:c>
      <x:c r="M60" s="41"/>
      <x:c r="N60" s="39"/>
    </x:row>
    <x:row r="61" ht="58" customHeight="1">
      <x:c r="A61" s="96" t="n">
        <x:v>60</x:v>
      </x:c>
      <x:c r="B61" s="39" t="str">
        <x:v>Armies, Crowds &amp; Censuses</x:v>
      </x:c>
      <x:c r="C61" s="39" t="str">
        <x:v>How many men were fed in the feeding of the 5,000, excluding women and children?</x:v>
      </x:c>
      <x:c r="D61" s="39" t="str">
        <x:v>About 5,000 men.</x:v>
      </x:c>
      <x:c r="E61" s="39" t="str">
        <x:v>Exact: 5,000</x:v>
      </x:c>
      <x:c r="F61" s="39" t="str">
        <x:v>Matthew explicitly notes that women and children were in addition to the 5,000 men.</x:v>
      </x:c>
      <x:c r="G61" s="84" t="str">
        <x:v>Matthew 14:19–21</x:v>
      </x:c>
      <x:c r="H61" s="84" t="str">
        <x:v>John 6:10–13</x:v>
      </x:c>
      <x:c r="I61" s="39" t="str">
        <x:v>Rounded biblical number</x:v>
      </x:c>
      <x:c r="J61" s="40" t="n">
        <x:v>5000</x:v>
      </x:c>
      <x:c r="K61" s="39" t="str">
        <x:v>men</x:v>
      </x:c>
      <x:c r="L61" s="72" t="str">
        <x:v>https://www.biblegateway.com/passage/?search=Matthew%2014%3A19%E2%80%9321%3B%20John%206%3A10%E2%80%9313&amp;version=ESV</x:v>
      </x:c>
      <x:c r="M61" s="41"/>
      <x:c r="N61" s="39"/>
    </x:row>
    <x:row r="62" ht="58" customHeight="1">
      <x:c r="A62" s="96" t="n">
        <x:v>61</x:v>
      </x:c>
      <x:c r="B62" s="39" t="str">
        <x:v>Armies, Crowds &amp; Censuses</x:v>
      </x:c>
      <x:c r="C62" s="39" t="str">
        <x:v>How many men were fed in the feeding of the 4,000, excluding women and children?</x:v>
      </x:c>
      <x:c r="D62" s="39" t="str">
        <x:v>4,000 men.</x:v>
      </x:c>
      <x:c r="E62" s="39" t="str">
        <x:v>Exact: 4,000</x:v>
      </x:c>
      <x:c r="F62" s="39" t="str">
        <x:v>This is a separate feeding miracle from the feeding of the 5,000.</x:v>
      </x:c>
      <x:c r="G62" s="84" t="str">
        <x:v>Matthew 15:32–38</x:v>
      </x:c>
      <x:c r="H62" s="84" t="str">
        <x:v>Mark 8:1–9</x:v>
      </x:c>
      <x:c r="I62" s="39" t="str">
        <x:v>Exact biblical number</x:v>
      </x:c>
      <x:c r="J62" s="40" t="n">
        <x:v>4000</x:v>
      </x:c>
      <x:c r="K62" s="39" t="str">
        <x:v>men</x:v>
      </x:c>
      <x:c r="L62" s="72" t="str">
        <x:v>https://www.biblegateway.com/passage/?search=Matthew%2015%3A32%E2%80%9338%3B%20Mark%208%3A1%E2%80%939&amp;version=ESV</x:v>
      </x:c>
      <x:c r="M62" s="41"/>
      <x:c r="N62" s="39"/>
    </x:row>
    <x:row r="63" ht="58" customHeight="1">
      <x:c r="A63" s="96" t="n">
        <x:v>62</x:v>
      </x:c>
      <x:c r="B63" s="39" t="str">
        <x:v>Armies, Crowds &amp; Censuses</x:v>
      </x:c>
      <x:c r="C63" s="39" t="str">
        <x:v>How many people were added to the church at Pentecost?</x:v>
      </x:c>
      <x:c r="D63" s="39" t="str">
        <x:v>About 3,000.</x:v>
      </x:c>
      <x:c r="E63" s="39" t="str">
        <x:v>2,900–3,100</x:v>
      </x:c>
      <x:c r="F63" s="39" t="str">
        <x:v>They received Peter's message and were baptized.</x:v>
      </x:c>
      <x:c r="G63" s="84" t="str">
        <x:v>Acts 2:37–41</x:v>
      </x:c>
      <x:c r="H63" s="84" t="str">
        <x:v>Acts 2:46–47</x:v>
      </x:c>
      <x:c r="I63" s="39" t="str">
        <x:v>Rounded biblical number</x:v>
      </x:c>
      <x:c r="J63" s="40" t="n">
        <x:v>3000</x:v>
      </x:c>
      <x:c r="K63" s="39" t="str">
        <x:v>people</x:v>
      </x:c>
      <x:c r="L63" s="72" t="str">
        <x:v>https://www.biblegateway.com/passage/?search=Acts%202%3A37%E2%80%9341%3B%20Acts%202%3A46%E2%80%9347&amp;version=ESV</x:v>
      </x:c>
      <x:c r="M63" s="41"/>
      <x:c r="N63" s="39"/>
    </x:row>
    <x:row r="64" ht="58" customHeight="1">
      <x:c r="A64" s="96" t="n">
        <x:v>63</x:v>
      </x:c>
      <x:c r="B64" s="39" t="str">
        <x:v>Armies, Crowds &amp; Censuses</x:v>
      </x:c>
      <x:c r="C64" s="39" t="str">
        <x:v>How many believing men were counted after Peter and John preached at the Temple?</x:v>
      </x:c>
      <x:c r="D64" s="39" t="str">
        <x:v>About 5,000 men.</x:v>
      </x:c>
      <x:c r="E64" s="39" t="str">
        <x:v>4,900–5,100</x:v>
      </x:c>
      <x:c r="F64" s="39" t="str">
        <x:v>The number refers to men, so the full believing community may have been larger.</x:v>
      </x:c>
      <x:c r="G64" s="84" t="str">
        <x:v>Acts 4:1–4</x:v>
      </x:c>
      <x:c r="H64" s="84" t="str">
        <x:v>Acts 2:41</x:v>
      </x:c>
      <x:c r="I64" s="39" t="str">
        <x:v>Rounded biblical number</x:v>
      </x:c>
      <x:c r="J64" s="40" t="n">
        <x:v>5000</x:v>
      </x:c>
      <x:c r="K64" s="39" t="str">
        <x:v>men</x:v>
      </x:c>
      <x:c r="L64" s="72" t="str">
        <x:v>https://www.biblegateway.com/passage/?search=Acts%204%3A1%E2%80%934%3B%20Acts%202%3A41&amp;version=ESV</x:v>
      </x:c>
      <x:c r="M64" s="41"/>
      <x:c r="N64" s="39"/>
    </x:row>
    <x:row r="65" ht="58" customHeight="1">
      <x:c r="A65" s="96" t="n">
        <x:v>64</x:v>
      </x:c>
      <x:c r="B65" s="39" t="str">
        <x:v>Armies, Crowds &amp; Censuses</x:v>
      </x:c>
      <x:c r="C65" s="39" t="str">
        <x:v>How many people were aboard Paul's ship before the shipwreck?</x:v>
      </x:c>
      <x:c r="D65" s="39" t="str">
        <x:v>276 people.</x:v>
      </x:c>
      <x:c r="E65" s="39" t="str">
        <x:v>Exact: 276</x:v>
      </x:c>
      <x:c r="F65" s="39" t="str">
        <x:v>Everyone survived the wreck, fulfilling God's promise to Paul.</x:v>
      </x:c>
      <x:c r="G65" s="84" t="str">
        <x:v>Acts 27:33–37</x:v>
      </x:c>
      <x:c r="H65" s="84" t="str">
        <x:v>Acts 27:42–44</x:v>
      </x:c>
      <x:c r="I65" s="39" t="str">
        <x:v>Exact biblical number</x:v>
      </x:c>
      <x:c r="J65" s="40" t="n">
        <x:v>276</x:v>
      </x:c>
      <x:c r="K65" s="39" t="str">
        <x:v>people</x:v>
      </x:c>
      <x:c r="L65" s="72" t="str">
        <x:v>https://www.biblegateway.com/passage/?search=Acts%2027%3A33%E2%80%9337%3B%20Acts%2027%3A42%E2%80%9344&amp;version=ESV</x:v>
      </x:c>
      <x:c r="M65" s="41"/>
      <x:c r="N65" s="39"/>
    </x:row>
    <x:row r="66" ht="58" customHeight="1">
      <x:c r="A66" s="96" t="n">
        <x:v>65</x:v>
      </x:c>
      <x:c r="B66" s="39" t="str">
        <x:v>Armies, Crowds &amp; Censuses</x:v>
      </x:c>
      <x:c r="C66" s="39" t="str">
        <x:v>How many people in Nineveh did God say could not distinguish their right hand from their left?</x:v>
      </x:c>
      <x:c r="D66" s="39" t="str">
        <x:v>More than 120,000.</x:v>
      </x:c>
      <x:c r="E66" s="39" t="str">
        <x:v>At least 120,000</x:v>
      </x:c>
      <x:c r="F66" s="39" t="str">
        <x:v>The phrase may refer to the whole population's moral ignorance or possibly to young children; interpreters differ.</x:v>
      </x:c>
      <x:c r="G66" s="84" t="str">
        <x:v>Jonah 4:10–11</x:v>
      </x:c>
      <x:c r="H66" s="84" t="str">
        <x:v>Jonah 3:5–10</x:v>
      </x:c>
      <x:c r="I66" s="39" t="str">
        <x:v>Minimum biblical number</x:v>
      </x:c>
      <x:c r="J66" s="40" t="n">
        <x:v>120000</x:v>
      </x:c>
      <x:c r="K66" s="39" t="str">
        <x:v>people</x:v>
      </x:c>
      <x:c r="L66" s="72" t="str">
        <x:v>https://www.biblegateway.com/passage/?search=Jonah%204%3A10%E2%80%9311%3B%20Jonah%203%3A5%E2%80%9310&amp;version=ESV</x:v>
      </x:c>
      <x:c r="M66" s="41"/>
      <x:c r="N66" s="39"/>
    </x:row>
    <x:row r="67" ht="58" customHeight="1">
      <x:c r="A67" s="97" t="n">
        <x:v>66</x:v>
      </x:c>
      <x:c r="B67" s="47" t="str">
        <x:v>Ages &amp; Time</x:v>
      </x:c>
      <x:c r="C67" s="47" t="str">
        <x:v>How old was Methuselah when he died?</x:v>
      </x:c>
      <x:c r="D67" s="47" t="str">
        <x:v>969 years.</x:v>
      </x:c>
      <x:c r="E67" s="47" t="str">
        <x:v>Exact: 969</x:v>
      </x:c>
      <x:c r="F67" s="47" t="str">
        <x:v>Methuselah is the longest-lived person whose age is recorded in Scripture.</x:v>
      </x:c>
      <x:c r="G67" s="85" t="str">
        <x:v>Genesis 5:25–27</x:v>
      </x:c>
      <x:c r="H67" s="85" t="str">
        <x:v>1 Chronicles 1:3</x:v>
      </x:c>
      <x:c r="I67" s="47" t="str">
        <x:v>Exact biblical number</x:v>
      </x:c>
      <x:c r="J67" s="48" t="n">
        <x:v>969</x:v>
      </x:c>
      <x:c r="K67" s="47" t="str">
        <x:v>years</x:v>
      </x:c>
      <x:c r="L67" s="73" t="str">
        <x:v>https://www.biblegateway.com/passage/?search=Genesis%205%3A25%E2%80%9327%3B%201%20Chronicles%201%3A3&amp;version=ESV</x:v>
      </x:c>
      <x:c r="M67" s="49"/>
      <x:c r="N67" s="47"/>
    </x:row>
    <x:row r="68" ht="58" customHeight="1">
      <x:c r="A68" s="97" t="n">
        <x:v>67</x:v>
      </x:c>
      <x:c r="B68" s="47" t="str">
        <x:v>Ages &amp; Time</x:v>
      </x:c>
      <x:c r="C68" s="47" t="str">
        <x:v>How old was Adam when he died?</x:v>
      </x:c>
      <x:c r="D68" s="47" t="str">
        <x:v>930 years.</x:v>
      </x:c>
      <x:c r="E68" s="47" t="str">
        <x:v>Exact: 930</x:v>
      </x:c>
      <x:c r="F68" s="47" t="str">
        <x:v>Genesis records Adam's age when Seth was born and his total lifespan.</x:v>
      </x:c>
      <x:c r="G68" s="85" t="str">
        <x:v>Genesis 5:3–5</x:v>
      </x:c>
      <x:c r="H68" s="85" t="str">
        <x:v>1 Chronicles 1:1</x:v>
      </x:c>
      <x:c r="I68" s="47" t="str">
        <x:v>Exact biblical number</x:v>
      </x:c>
      <x:c r="J68" s="48" t="n">
        <x:v>930</x:v>
      </x:c>
      <x:c r="K68" s="47" t="str">
        <x:v>years</x:v>
      </x:c>
      <x:c r="L68" s="73" t="str">
        <x:v>https://www.biblegateway.com/passage/?search=Genesis%205%3A3%E2%80%935%3B%201%20Chronicles%201%3A1&amp;version=ESV</x:v>
      </x:c>
      <x:c r="M68" s="49"/>
      <x:c r="N68" s="47"/>
    </x:row>
    <x:row r="69" ht="58" customHeight="1">
      <x:c r="A69" s="97" t="n">
        <x:v>68</x:v>
      </x:c>
      <x:c r="B69" s="47" t="str">
        <x:v>Ages &amp; Time</x:v>
      </x:c>
      <x:c r="C69" s="47" t="str">
        <x:v>How old was Noah when he died?</x:v>
      </x:c>
      <x:c r="D69" s="47" t="str">
        <x:v>950 years.</x:v>
      </x:c>
      <x:c r="E69" s="47" t="str">
        <x:v>Exact: 950</x:v>
      </x:c>
      <x:c r="F69" s="47" t="str">
        <x:v>Noah lived 350 years after the flood.</x:v>
      </x:c>
      <x:c r="G69" s="85" t="str">
        <x:v>Genesis 9:28–29</x:v>
      </x:c>
      <x:c r="H69" s="85" t="str">
        <x:v>Genesis 7:6</x:v>
      </x:c>
      <x:c r="I69" s="47" t="str">
        <x:v>Exact biblical number</x:v>
      </x:c>
      <x:c r="J69" s="48" t="n">
        <x:v>950</x:v>
      </x:c>
      <x:c r="K69" s="47" t="str">
        <x:v>years</x:v>
      </x:c>
      <x:c r="L69" s="73" t="str">
        <x:v>https://www.biblegateway.com/passage/?search=Genesis%209%3A28%E2%80%9329%3B%20Genesis%207%3A6&amp;version=ESV</x:v>
      </x:c>
      <x:c r="M69" s="49"/>
      <x:c r="N69" s="47"/>
    </x:row>
    <x:row r="70" ht="58" customHeight="1">
      <x:c r="A70" s="97" t="n">
        <x:v>69</x:v>
      </x:c>
      <x:c r="B70" s="47" t="str">
        <x:v>Ages &amp; Time</x:v>
      </x:c>
      <x:c r="C70" s="47" t="str">
        <x:v>How old was Abraham when he died?</x:v>
      </x:c>
      <x:c r="D70" s="47" t="str">
        <x:v>175 years.</x:v>
      </x:c>
      <x:c r="E70" s="47" t="str">
        <x:v>Exact: 175</x:v>
      </x:c>
      <x:c r="F70" s="47" t="str">
        <x:v>Genesis says Abraham died at a good old age and was buried by Isaac and Ishmael.</x:v>
      </x:c>
      <x:c r="G70" s="85" t="str">
        <x:v>Genesis 25:7–10</x:v>
      </x:c>
      <x:c r="H70" s="85" t="str">
        <x:v>Genesis 12:4</x:v>
      </x:c>
      <x:c r="I70" s="47" t="str">
        <x:v>Exact biblical number</x:v>
      </x:c>
      <x:c r="J70" s="48" t="n">
        <x:v>175</x:v>
      </x:c>
      <x:c r="K70" s="47" t="str">
        <x:v>years</x:v>
      </x:c>
      <x:c r="L70" s="73" t="str">
        <x:v>https://www.biblegateway.com/passage/?search=Genesis%2025%3A7%E2%80%9310%3B%20Genesis%2012%3A4&amp;version=ESV</x:v>
      </x:c>
      <x:c r="M70" s="49"/>
      <x:c r="N70" s="47"/>
    </x:row>
    <x:row r="71" ht="58" customHeight="1">
      <x:c r="A71" s="97" t="n">
        <x:v>70</x:v>
      </x:c>
      <x:c r="B71" s="47" t="str">
        <x:v>Ages &amp; Time</x:v>
      </x:c>
      <x:c r="C71" s="47" t="str">
        <x:v>How old was Sarah when she died?</x:v>
      </x:c>
      <x:c r="D71" s="47" t="str">
        <x:v>127 years.</x:v>
      </x:c>
      <x:c r="E71" s="47" t="str">
        <x:v>Exact: 127</x:v>
      </x:c>
      <x:c r="F71" s="47" t="str">
        <x:v>Sarah is the only woman in Scripture whose complete lifespan is explicitly recorded.</x:v>
      </x:c>
      <x:c r="G71" s="85" t="str">
        <x:v>Genesis 23:1–2</x:v>
      </x:c>
      <x:c r="H71" s="85" t="str">
        <x:v>Genesis 17:17</x:v>
      </x:c>
      <x:c r="I71" s="47" t="str">
        <x:v>Exact biblical number</x:v>
      </x:c>
      <x:c r="J71" s="48" t="n">
        <x:v>127</x:v>
      </x:c>
      <x:c r="K71" s="47" t="str">
        <x:v>years</x:v>
      </x:c>
      <x:c r="L71" s="73" t="str">
        <x:v>https://www.biblegateway.com/passage/?search=Genesis%2023%3A1%E2%80%932%3B%20Genesis%2017%3A17&amp;version=ESV</x:v>
      </x:c>
      <x:c r="M71" s="49"/>
      <x:c r="N71" s="47"/>
    </x:row>
    <x:row r="72" ht="58" customHeight="1">
      <x:c r="A72" s="97" t="n">
        <x:v>71</x:v>
      </x:c>
      <x:c r="B72" s="47" t="str">
        <x:v>Ages &amp; Time</x:v>
      </x:c>
      <x:c r="C72" s="47" t="str">
        <x:v>How old was Isaac when he died?</x:v>
      </x:c>
      <x:c r="D72" s="47" t="str">
        <x:v>180 years.</x:v>
      </x:c>
      <x:c r="E72" s="47" t="str">
        <x:v>Exact: 180</x:v>
      </x:c>
      <x:c r="F72" s="47" t="str">
        <x:v>Jacob and Esau buried their father together.</x:v>
      </x:c>
      <x:c r="G72" s="85" t="str">
        <x:v>Genesis 35:28–29</x:v>
      </x:c>
      <x:c r="H72" s="85" t="str">
        <x:v>Genesis 25:26</x:v>
      </x:c>
      <x:c r="I72" s="47" t="str">
        <x:v>Exact biblical number</x:v>
      </x:c>
      <x:c r="J72" s="48" t="n">
        <x:v>180</x:v>
      </x:c>
      <x:c r="K72" s="47" t="str">
        <x:v>years</x:v>
      </x:c>
      <x:c r="L72" s="73" t="str">
        <x:v>https://www.biblegateway.com/passage/?search=Genesis%2035%3A28%E2%80%9329%3B%20Genesis%2025%3A26&amp;version=ESV</x:v>
      </x:c>
      <x:c r="M72" s="49"/>
      <x:c r="N72" s="47"/>
    </x:row>
    <x:row r="73" ht="58" customHeight="1">
      <x:c r="A73" s="97" t="n">
        <x:v>72</x:v>
      </x:c>
      <x:c r="B73" s="47" t="str">
        <x:v>Ages &amp; Time</x:v>
      </x:c>
      <x:c r="C73" s="47" t="str">
        <x:v>How old was Jacob when he died?</x:v>
      </x:c>
      <x:c r="D73" s="47" t="str">
        <x:v>147 years.</x:v>
      </x:c>
      <x:c r="E73" s="47" t="str">
        <x:v>Exact: 147</x:v>
      </x:c>
      <x:c r="F73" s="47" t="str">
        <x:v>Jacob told Pharaoh he was 130 when he arrived in Egypt and lived there another 17 years.</x:v>
      </x:c>
      <x:c r="G73" s="85" t="str">
        <x:v>Genesis 47:9</x:v>
      </x:c>
      <x:c r="H73" s="85" t="str">
        <x:v>Genesis 47:28</x:v>
      </x:c>
      <x:c r="I73" s="47" t="str">
        <x:v>Derived biblical number</x:v>
      </x:c>
      <x:c r="J73" s="48" t="n">
        <x:v>147</x:v>
      </x:c>
      <x:c r="K73" s="47" t="str">
        <x:v>years</x:v>
      </x:c>
      <x:c r="L73" s="73" t="str">
        <x:v>https://www.biblegateway.com/passage/?search=Genesis%2047%3A9%3B%20Genesis%2047%3A28&amp;version=ESV</x:v>
      </x:c>
      <x:c r="M73" s="49"/>
      <x:c r="N73" s="47"/>
    </x:row>
    <x:row r="74" ht="58" customHeight="1">
      <x:c r="A74" s="97" t="n">
        <x:v>73</x:v>
      </x:c>
      <x:c r="B74" s="47" t="str">
        <x:v>Ages &amp; Time</x:v>
      </x:c>
      <x:c r="C74" s="47" t="str">
        <x:v>How old was Joseph when he died?</x:v>
      </x:c>
      <x:c r="D74" s="47" t="str">
        <x:v>110 years.</x:v>
      </x:c>
      <x:c r="E74" s="47" t="str">
        <x:v>Exact: 110</x:v>
      </x:c>
      <x:c r="F74" s="47" t="str">
        <x:v>Joseph asked that his bones be carried from Egypt when God brought Israel back to the promised land.</x:v>
      </x:c>
      <x:c r="G74" s="85" t="str">
        <x:v>Genesis 50:22–26</x:v>
      </x:c>
      <x:c r="H74" s="85" t="str">
        <x:v>Exodus 13:19</x:v>
      </x:c>
      <x:c r="I74" s="47" t="str">
        <x:v>Exact biblical number</x:v>
      </x:c>
      <x:c r="J74" s="48" t="n">
        <x:v>110</x:v>
      </x:c>
      <x:c r="K74" s="47" t="str">
        <x:v>years</x:v>
      </x:c>
      <x:c r="L74" s="73" t="str">
        <x:v>https://www.biblegateway.com/passage/?search=Genesis%2050%3A22%E2%80%9326%3B%20Exodus%2013%3A19&amp;version=ESV</x:v>
      </x:c>
      <x:c r="M74" s="49"/>
      <x:c r="N74" s="47"/>
    </x:row>
    <x:row r="75" ht="58" customHeight="1">
      <x:c r="A75" s="97" t="n">
        <x:v>74</x:v>
      </x:c>
      <x:c r="B75" s="47" t="str">
        <x:v>Ages &amp; Time</x:v>
      </x:c>
      <x:c r="C75" s="47" t="str">
        <x:v>How old was Moses when he died?</x:v>
      </x:c>
      <x:c r="D75" s="47" t="str">
        <x:v>120 years.</x:v>
      </x:c>
      <x:c r="E75" s="47" t="str">
        <x:v>Exact: 120</x:v>
      </x:c>
      <x:c r="F75" s="47" t="str">
        <x:v>Deuteronomy says his eye was undimmed and his vigor had not left him.</x:v>
      </x:c>
      <x:c r="G75" s="85" t="str">
        <x:v>Deuteronomy 34:7</x:v>
      </x:c>
      <x:c r="H75" s="85" t="str">
        <x:v>Acts 7:23–36</x:v>
      </x:c>
      <x:c r="I75" s="47" t="str">
        <x:v>Exact biblical number</x:v>
      </x:c>
      <x:c r="J75" s="48" t="n">
        <x:v>120</x:v>
      </x:c>
      <x:c r="K75" s="47" t="str">
        <x:v>years</x:v>
      </x:c>
      <x:c r="L75" s="73" t="str">
        <x:v>https://www.biblegateway.com/passage/?search=Deuteronomy%2034%3A7%3B%20Acts%207%3A23%E2%80%9336&amp;version=ESV</x:v>
      </x:c>
      <x:c r="M75" s="49"/>
      <x:c r="N75" s="47"/>
    </x:row>
    <x:row r="76" ht="58" customHeight="1">
      <x:c r="A76" s="97" t="n">
        <x:v>75</x:v>
      </x:c>
      <x:c r="B76" s="47" t="str">
        <x:v>Ages &amp; Time</x:v>
      </x:c>
      <x:c r="C76" s="47" t="str">
        <x:v>How old was Joshua when he died?</x:v>
      </x:c>
      <x:c r="D76" s="47" t="str">
        <x:v>110 years.</x:v>
      </x:c>
      <x:c r="E76" s="47" t="str">
        <x:v>Exact: 110</x:v>
      </x:c>
      <x:c r="F76" s="47" t="str">
        <x:v>Joshua was buried in the hill country of Ephraim.</x:v>
      </x:c>
      <x:c r="G76" s="85" t="str">
        <x:v>Joshua 24:29–30</x:v>
      </x:c>
      <x:c r="H76" s="85" t="str">
        <x:v>Judges 2:8–9</x:v>
      </x:c>
      <x:c r="I76" s="47" t="str">
        <x:v>Exact biblical number</x:v>
      </x:c>
      <x:c r="J76" s="48" t="n">
        <x:v>110</x:v>
      </x:c>
      <x:c r="K76" s="47" t="str">
        <x:v>years</x:v>
      </x:c>
      <x:c r="L76" s="73" t="str">
        <x:v>https://www.biblegateway.com/passage/?search=Joshua%2024%3A29%E2%80%9330%3B%20Judges%202%3A8%E2%80%939&amp;version=ESV</x:v>
      </x:c>
      <x:c r="M76" s="49"/>
      <x:c r="N76" s="47"/>
    </x:row>
    <x:row r="77" ht="58" customHeight="1">
      <x:c r="A77" s="97" t="n">
        <x:v>76</x:v>
      </x:c>
      <x:c r="B77" s="47" t="str">
        <x:v>Ages &amp; Time</x:v>
      </x:c>
      <x:c r="C77" s="47" t="str">
        <x:v>How old was Aaron when he died?</x:v>
      </x:c>
      <x:c r="D77" s="47" t="str">
        <x:v>123 years.</x:v>
      </x:c>
      <x:c r="E77" s="47" t="str">
        <x:v>Exact: 123</x:v>
      </x:c>
      <x:c r="F77" s="47" t="str">
        <x:v>Aaron died on Mount Hor in the fortieth year after Israel left Egypt.</x:v>
      </x:c>
      <x:c r="G77" s="85" t="str">
        <x:v>Numbers 33:38–39</x:v>
      </x:c>
      <x:c r="H77" s="85" t="str">
        <x:v>Numbers 20:27–29</x:v>
      </x:c>
      <x:c r="I77" s="47" t="str">
        <x:v>Exact biblical number</x:v>
      </x:c>
      <x:c r="J77" s="48" t="n">
        <x:v>123</x:v>
      </x:c>
      <x:c r="K77" s="47" t="str">
        <x:v>years</x:v>
      </x:c>
      <x:c r="L77" s="73" t="str">
        <x:v>https://www.biblegateway.com/passage/?search=Numbers%2033%3A38%E2%80%9339%3B%20Numbers%2020%3A27%E2%80%9329&amp;version=ESV</x:v>
      </x:c>
      <x:c r="M77" s="49"/>
      <x:c r="N77" s="47"/>
    </x:row>
    <x:row r="78" ht="58" customHeight="1">
      <x:c r="A78" s="97" t="n">
        <x:v>77</x:v>
      </x:c>
      <x:c r="B78" s="47" t="str">
        <x:v>Ages &amp; Time</x:v>
      </x:c>
      <x:c r="C78" s="47" t="str">
        <x:v>How old was Ishmael when he died?</x:v>
      </x:c>
      <x:c r="D78" s="47" t="str">
        <x:v>137 years.</x:v>
      </x:c>
      <x:c r="E78" s="47" t="str">
        <x:v>Exact: 137</x:v>
      </x:c>
      <x:c r="F78" s="47" t="str">
        <x:v>Genesis records Ishmael's twelve sons and his lifespan.</x:v>
      </x:c>
      <x:c r="G78" s="85" t="str">
        <x:v>Genesis 25:16–17</x:v>
      </x:c>
      <x:c r="H78" s="85" t="str">
        <x:v>Genesis 17:20</x:v>
      </x:c>
      <x:c r="I78" s="47" t="str">
        <x:v>Exact biblical number</x:v>
      </x:c>
      <x:c r="J78" s="48" t="n">
        <x:v>137</x:v>
      </x:c>
      <x:c r="K78" s="47" t="str">
        <x:v>years</x:v>
      </x:c>
      <x:c r="L78" s="73" t="str">
        <x:v>https://www.biblegateway.com/passage/?search=Genesis%2025%3A16%E2%80%9317%3B%20Genesis%2017%3A20&amp;version=ESV</x:v>
      </x:c>
      <x:c r="M78" s="49"/>
      <x:c r="N78" s="47"/>
    </x:row>
    <x:row r="79" ht="58" customHeight="1">
      <x:c r="A79" s="97" t="n">
        <x:v>78</x:v>
      </x:c>
      <x:c r="B79" s="47" t="str">
        <x:v>Ages &amp; Time</x:v>
      </x:c>
      <x:c r="C79" s="47" t="str">
        <x:v>How many years did David reign in total?</x:v>
      </x:c>
      <x:c r="D79" s="47" t="str">
        <x:v>40 years.</x:v>
      </x:c>
      <x:c r="E79" s="47" t="str">
        <x:v>Exact: 40</x:v>
      </x:c>
      <x:c r="F79" s="47" t="str">
        <x:v>He reigned seven years and six months in Hebron and thirty-three years in Jerusalem.</x:v>
      </x:c>
      <x:c r="G79" s="85" t="str">
        <x:v>2 Samuel 5:4–5</x:v>
      </x:c>
      <x:c r="H79" s="85" t="str">
        <x:v>1 Kings 2:11</x:v>
      </x:c>
      <x:c r="I79" s="47" t="str">
        <x:v>Rounded biblical total</x:v>
      </x:c>
      <x:c r="J79" s="48" t="n">
        <x:v>40</x:v>
      </x:c>
      <x:c r="K79" s="47" t="str">
        <x:v>years</x:v>
      </x:c>
      <x:c r="L79" s="73" t="str">
        <x:v>https://www.biblegateway.com/passage/?search=2%20Samuel%205%3A4%E2%80%935%3B%201%20Kings%202%3A11&amp;version=ESV</x:v>
      </x:c>
      <x:c r="M79" s="49"/>
      <x:c r="N79" s="47"/>
    </x:row>
    <x:row r="80" ht="58" customHeight="1">
      <x:c r="A80" s="97" t="n">
        <x:v>79</x:v>
      </x:c>
      <x:c r="B80" s="47" t="str">
        <x:v>Ages &amp; Time</x:v>
      </x:c>
      <x:c r="C80" s="47" t="str">
        <x:v>How many years did Solomon reign in Jerusalem?</x:v>
      </x:c>
      <x:c r="D80" s="47" t="str">
        <x:v>40 years.</x:v>
      </x:c>
      <x:c r="E80" s="47" t="str">
        <x:v>Exact: 40</x:v>
      </x:c>
      <x:c r="F80" s="47" t="str">
        <x:v>Solomon succeeded David and was followed by Rehoboam.</x:v>
      </x:c>
      <x:c r="G80" s="85" t="str">
        <x:v>1 Kings 11:42–43</x:v>
      </x:c>
      <x:c r="H80" s="85" t="str">
        <x:v>2 Chronicles 9:30–31</x:v>
      </x:c>
      <x:c r="I80" s="47" t="str">
        <x:v>Exact biblical number</x:v>
      </x:c>
      <x:c r="J80" s="48" t="n">
        <x:v>40</x:v>
      </x:c>
      <x:c r="K80" s="47" t="str">
        <x:v>years</x:v>
      </x:c>
      <x:c r="L80" s="73" t="str">
        <x:v>https://www.biblegateway.com/passage/?search=1%20Kings%2011%3A42%E2%80%9343%3B%202%20Chronicles%209%3A30%E2%80%9331&amp;version=ESV</x:v>
      </x:c>
      <x:c r="M80" s="49"/>
      <x:c r="N80" s="47"/>
    </x:row>
    <x:row r="81" ht="58" customHeight="1">
      <x:c r="A81" s="97" t="n">
        <x:v>80</x:v>
      </x:c>
      <x:c r="B81" s="47" t="str">
        <x:v>Ages &amp; Time</x:v>
      </x:c>
      <x:c r="C81" s="47" t="str">
        <x:v>How long did rain fall during the flood?</x:v>
      </x:c>
      <x:c r="D81" s="47" t="str">
        <x:v>40 days and 40 nights.</x:v>
      </x:c>
      <x:c r="E81" s="47" t="str">
        <x:v>Exact: 40 days</x:v>
      </x:c>
      <x:c r="F81" s="47" t="str">
        <x:v>The flood account also describes a much longer period before the earth was fully dry.</x:v>
      </x:c>
      <x:c r="G81" s="85" t="str">
        <x:v>Genesis 7:4</x:v>
      </x:c>
      <x:c r="H81" s="85" t="str">
        <x:v>Genesis 7:12</x:v>
      </x:c>
      <x:c r="I81" s="47" t="str">
        <x:v>Exact biblical number</x:v>
      </x:c>
      <x:c r="J81" s="48" t="n">
        <x:v>40</x:v>
      </x:c>
      <x:c r="K81" s="47" t="str">
        <x:v>days</x:v>
      </x:c>
      <x:c r="L81" s="73" t="str">
        <x:v>https://www.biblegateway.com/passage/?search=Genesis%207%3A4%3B%20Genesis%207%3A12&amp;version=ESV</x:v>
      </x:c>
      <x:c r="M81" s="49"/>
      <x:c r="N81" s="47"/>
    </x:row>
    <x:row r="82" ht="58" customHeight="1">
      <x:c r="A82" s="97" t="n">
        <x:v>81</x:v>
      </x:c>
      <x:c r="B82" s="47" t="str">
        <x:v>Ages &amp; Time</x:v>
      </x:c>
      <x:c r="C82" s="47" t="str">
        <x:v>How many years did Israel wander in the wilderness?</x:v>
      </x:c>
      <x:c r="D82" s="47" t="str">
        <x:v>40 years.</x:v>
      </x:c>
      <x:c r="E82" s="47" t="str">
        <x:v>Exact: 40</x:v>
      </x:c>
      <x:c r="F82" s="47" t="str">
        <x:v>The period corresponded to the forty days the spies explored the land, one year for each day.</x:v>
      </x:c>
      <x:c r="G82" s="85" t="str">
        <x:v>Numbers 14:33–34</x:v>
      </x:c>
      <x:c r="H82" s="85" t="str">
        <x:v>Deuteronomy 8:2</x:v>
      </x:c>
      <x:c r="I82" s="47" t="str">
        <x:v>Exact biblical number</x:v>
      </x:c>
      <x:c r="J82" s="48" t="n">
        <x:v>40</x:v>
      </x:c>
      <x:c r="K82" s="47" t="str">
        <x:v>years</x:v>
      </x:c>
      <x:c r="L82" s="73" t="str">
        <x:v>https://www.biblegateway.com/passage/?search=Numbers%2014%3A33%E2%80%9334%3B%20Deuteronomy%208%3A2&amp;version=ESV</x:v>
      </x:c>
      <x:c r="M82" s="49"/>
      <x:c r="N82" s="47"/>
    </x:row>
    <x:row r="83" ht="58" customHeight="1">
      <x:c r="A83" s="97" t="n">
        <x:v>82</x:v>
      </x:c>
      <x:c r="B83" s="47" t="str">
        <x:v>Ages &amp; Time</x:v>
      </x:c>
      <x:c r="C83" s="47" t="str">
        <x:v>How long was Moses on Mount Sinai without eating or drinking?</x:v>
      </x:c>
      <x:c r="D83" s="47" t="str">
        <x:v>40 days and 40 nights.</x:v>
      </x:c>
      <x:c r="E83" s="47" t="str">
        <x:v>Exact: 40 days</x:v>
      </x:c>
      <x:c r="F83" s="47" t="str">
        <x:v>Moses remained before the Lord while receiving the covenant words.</x:v>
      </x:c>
      <x:c r="G83" s="85" t="str">
        <x:v>Exodus 34:28</x:v>
      </x:c>
      <x:c r="H83" s="85" t="str">
        <x:v>Deuteronomy 9:9</x:v>
      </x:c>
      <x:c r="I83" s="47" t="str">
        <x:v>Exact biblical number</x:v>
      </x:c>
      <x:c r="J83" s="48" t="n">
        <x:v>40</x:v>
      </x:c>
      <x:c r="K83" s="47" t="str">
        <x:v>days</x:v>
      </x:c>
      <x:c r="L83" s="73" t="str">
        <x:v>https://www.biblegateway.com/passage/?search=Exodus%2034%3A28%3B%20Deuteronomy%209%3A9&amp;version=ESV</x:v>
      </x:c>
      <x:c r="M83" s="49"/>
      <x:c r="N83" s="47"/>
    </x:row>
    <x:row r="84" ht="58" customHeight="1">
      <x:c r="A84" s="97" t="n">
        <x:v>83</x:v>
      </x:c>
      <x:c r="B84" s="47" t="str">
        <x:v>Ages &amp; Time</x:v>
      </x:c>
      <x:c r="C84" s="47" t="str">
        <x:v>How long did Jesus fast in the wilderness?</x:v>
      </x:c>
      <x:c r="D84" s="47" t="str">
        <x:v>40 days.</x:v>
      </x:c>
      <x:c r="E84" s="47" t="str">
        <x:v>Exact: 40</x:v>
      </x:c>
      <x:c r="F84" s="47" t="str">
        <x:v>Jesus was tempted by the devil during this wilderness period.</x:v>
      </x:c>
      <x:c r="G84" s="85" t="str">
        <x:v>Matthew 4:1–2</x:v>
      </x:c>
      <x:c r="H84" s="85" t="str">
        <x:v>Luke 4:1–2</x:v>
      </x:c>
      <x:c r="I84" s="47" t="str">
        <x:v>Exact biblical number</x:v>
      </x:c>
      <x:c r="J84" s="48" t="n">
        <x:v>40</x:v>
      </x:c>
      <x:c r="K84" s="47" t="str">
        <x:v>days</x:v>
      </x:c>
      <x:c r="L84" s="73" t="str">
        <x:v>https://www.biblegateway.com/passage/?search=Matthew%204%3A1%E2%80%932%3B%20Luke%204%3A1%E2%80%932&amp;version=ESV</x:v>
      </x:c>
      <x:c r="M84" s="49"/>
      <x:c r="N84" s="47"/>
    </x:row>
    <x:row r="85" ht="58" customHeight="1">
      <x:c r="A85" s="97" t="n">
        <x:v>84</x:v>
      </x:c>
      <x:c r="B85" s="47" t="str">
        <x:v>Ages &amp; Time</x:v>
      </x:c>
      <x:c r="C85" s="47" t="str">
        <x:v>How many days did Jonah announce were left before Nineveh would be overthrown?</x:v>
      </x:c>
      <x:c r="D85" s="47" t="str">
        <x:v>40 days.</x:v>
      </x:c>
      <x:c r="E85" s="47" t="str">
        <x:v>Exact: 40</x:v>
      </x:c>
      <x:c r="F85" s="47" t="str">
        <x:v>The people repented, and God relented from the announced disaster.</x:v>
      </x:c>
      <x:c r="G85" s="85" t="str">
        <x:v>Jonah 3:4–10</x:v>
      </x:c>
      <x:c r="H85" s="85" t="str">
        <x:v>Matthew 12:41</x:v>
      </x:c>
      <x:c r="I85" s="47" t="str">
        <x:v>Exact biblical number</x:v>
      </x:c>
      <x:c r="J85" s="48" t="n">
        <x:v>40</x:v>
      </x:c>
      <x:c r="K85" s="47" t="str">
        <x:v>days</x:v>
      </x:c>
      <x:c r="L85" s="73" t="str">
        <x:v>https://www.biblegateway.com/passage/?search=Jonah%203%3A4%E2%80%9310%3B%20Matthew%2012%3A41&amp;version=ESV</x:v>
      </x:c>
      <x:c r="M85" s="49"/>
      <x:c r="N85" s="47"/>
    </x:row>
    <x:row r="86" ht="58" customHeight="1">
      <x:c r="A86" s="97" t="n">
        <x:v>85</x:v>
      </x:c>
      <x:c r="B86" s="47" t="str">
        <x:v>Ages &amp; Time</x:v>
      </x:c>
      <x:c r="C86" s="47" t="str">
        <x:v>How many days was Ezekiel told to lie on his left side?</x:v>
      </x:c>
      <x:c r="D86" s="47" t="str">
        <x:v>390 days.</x:v>
      </x:c>
      <x:c r="E86" s="47" t="str">
        <x:v>Exact: 390</x:v>
      </x:c>
      <x:c r="F86" s="47" t="str">
        <x:v>The symbolic action represented the years of punishment associated with Israel.</x:v>
      </x:c>
      <x:c r="G86" s="85" t="str">
        <x:v>Ezekiel 4:4–5</x:v>
      </x:c>
      <x:c r="H86" s="85" t="str">
        <x:v>Ezekiel 4:9</x:v>
      </x:c>
      <x:c r="I86" s="47" t="str">
        <x:v>Exact biblical number</x:v>
      </x:c>
      <x:c r="J86" s="48" t="n">
        <x:v>390</x:v>
      </x:c>
      <x:c r="K86" s="47" t="str">
        <x:v>days</x:v>
      </x:c>
      <x:c r="L86" s="73" t="str">
        <x:v>https://www.biblegateway.com/passage/?search=Ezekiel%204%3A4%E2%80%935%3B%20Ezekiel%204%3A9&amp;version=ESV</x:v>
      </x:c>
      <x:c r="M86" s="49"/>
      <x:c r="N86" s="47"/>
    </x:row>
    <x:row r="87" ht="58" customHeight="1">
      <x:c r="A87" s="97" t="n">
        <x:v>86</x:v>
      </x:c>
      <x:c r="B87" s="47" t="str">
        <x:v>Ages &amp; Time</x:v>
      </x:c>
      <x:c r="C87" s="47" t="str">
        <x:v>How many days was Ezekiel told to lie on his right side?</x:v>
      </x:c>
      <x:c r="D87" s="47" t="str">
        <x:v>40 days.</x:v>
      </x:c>
      <x:c r="E87" s="47" t="str">
        <x:v>Exact: 40</x:v>
      </x:c>
      <x:c r="F87" s="47" t="str">
        <x:v>The second symbolic period represented Judah.</x:v>
      </x:c>
      <x:c r="G87" s="85" t="str">
        <x:v>Ezekiel 4:6</x:v>
      </x:c>
      <x:c r="H87" s="85" t="str">
        <x:v>Ezekiel 4:8</x:v>
      </x:c>
      <x:c r="I87" s="47" t="str">
        <x:v>Exact biblical number</x:v>
      </x:c>
      <x:c r="J87" s="48" t="n">
        <x:v>40</x:v>
      </x:c>
      <x:c r="K87" s="47" t="str">
        <x:v>days</x:v>
      </x:c>
      <x:c r="L87" s="73" t="str">
        <x:v>https://www.biblegateway.com/passage/?search=Ezekiel%204%3A6%3B%20Ezekiel%204%3A8&amp;version=ESV</x:v>
      </x:c>
      <x:c r="M87" s="49"/>
      <x:c r="N87" s="47"/>
    </x:row>
    <x:row r="88" ht="58" customHeight="1">
      <x:c r="A88" s="97" t="n">
        <x:v>87</x:v>
      </x:c>
      <x:c r="B88" s="47" t="str">
        <x:v>Ages &amp; Time</x:v>
      </x:c>
      <x:c r="C88" s="47" t="str">
        <x:v>How long did the floodwaters prevail strongly on the earth?</x:v>
      </x:c>
      <x:c r="D88" s="47" t="str">
        <x:v>150 days.</x:v>
      </x:c>
      <x:c r="E88" s="47" t="str">
        <x:v>Exact: 150</x:v>
      </x:c>
      <x:c r="F88" s="47" t="str">
        <x:v>After this period, God caused a wind to pass over the earth and the waters began to recede.</x:v>
      </x:c>
      <x:c r="G88" s="85" t="str">
        <x:v>Genesis 7:24</x:v>
      </x:c>
      <x:c r="H88" s="85" t="str">
        <x:v>Genesis 8:1–3</x:v>
      </x:c>
      <x:c r="I88" s="47" t="str">
        <x:v>Exact biblical number</x:v>
      </x:c>
      <x:c r="J88" s="48" t="n">
        <x:v>150</x:v>
      </x:c>
      <x:c r="K88" s="47" t="str">
        <x:v>days</x:v>
      </x:c>
      <x:c r="L88" s="73" t="str">
        <x:v>https://www.biblegateway.com/passage/?search=Genesis%207%3A24%3B%20Genesis%208%3A1%E2%80%933&amp;version=ESV</x:v>
      </x:c>
      <x:c r="M88" s="49"/>
      <x:c r="N88" s="47"/>
    </x:row>
    <x:row r="89" ht="58" customHeight="1">
      <x:c r="A89" s="97" t="n">
        <x:v>88</x:v>
      </x:c>
      <x:c r="B89" s="47" t="str">
        <x:v>Ages &amp; Time</x:v>
      </x:c>
      <x:c r="C89" s="47" t="str">
        <x:v>How long did Job's friends sit silently with him?</x:v>
      </x:c>
      <x:c r="D89" s="47" t="str">
        <x:v>Seven days and seven nights.</x:v>
      </x:c>
      <x:c r="E89" s="47" t="str">
        <x:v>Exact: 7 days</x:v>
      </x:c>
      <x:c r="F89" s="47" t="str">
        <x:v>They saw that Job's suffering was very great and initially said nothing.</x:v>
      </x:c>
      <x:c r="G89" s="85" t="str">
        <x:v>Job 2:11–13</x:v>
      </x:c>
      <x:c r="H89" s="85" t="str">
        <x:v>Job 3:1</x:v>
      </x:c>
      <x:c r="I89" s="47" t="str">
        <x:v>Exact biblical number</x:v>
      </x:c>
      <x:c r="J89" s="48" t="n">
        <x:v>7</x:v>
      </x:c>
      <x:c r="K89" s="47" t="str">
        <x:v>days</x:v>
      </x:c>
      <x:c r="L89" s="73" t="str">
        <x:v>https://www.biblegateway.com/passage/?search=Job%202%3A11%E2%80%9313%3B%20Job%203%3A1&amp;version=ESV</x:v>
      </x:c>
      <x:c r="M89" s="49"/>
      <x:c r="N89" s="47"/>
    </x:row>
    <x:row r="90" ht="58" customHeight="1">
      <x:c r="A90" s="97" t="n">
        <x:v>89</x:v>
      </x:c>
      <x:c r="B90" s="47" t="str">
        <x:v>Ages &amp; Time</x:v>
      </x:c>
      <x:c r="C90" s="47" t="str">
        <x:v>For how many days did Israel march around Jericho?</x:v>
      </x:c>
      <x:c r="D90" s="47" t="str">
        <x:v>Seven days.</x:v>
      </x:c>
      <x:c r="E90" s="47" t="str">
        <x:v>Exact: 7</x:v>
      </x:c>
      <x:c r="F90" s="47" t="str">
        <x:v>They marched once daily for six days and seven times on the seventh day.</x:v>
      </x:c>
      <x:c r="G90" s="85" t="str">
        <x:v>Joshua 6:3–4</x:v>
      </x:c>
      <x:c r="H90" s="85" t="str">
        <x:v>Joshua 6:15–16</x:v>
      </x:c>
      <x:c r="I90" s="47" t="str">
        <x:v>Exact biblical number</x:v>
      </x:c>
      <x:c r="J90" s="48" t="n">
        <x:v>7</x:v>
      </x:c>
      <x:c r="K90" s="47" t="str">
        <x:v>days</x:v>
      </x:c>
      <x:c r="L90" s="73" t="str">
        <x:v>https://www.biblegateway.com/passage/?search=Joshua%206%3A3%E2%80%934%3B%20Joshua%206%3A15%E2%80%9316&amp;version=ESV</x:v>
      </x:c>
      <x:c r="M90" s="49"/>
      <x:c r="N90" s="47"/>
    </x:row>
    <x:row r="91" ht="58" customHeight="1">
      <x:c r="A91" s="97" t="n">
        <x:v>90</x:v>
      </x:c>
      <x:c r="B91" s="47" t="str">
        <x:v>Ages &amp; Time</x:v>
      </x:c>
      <x:c r="C91" s="47" t="str">
        <x:v>How many days had Lazarus been in the tomb when Jesus arrived?</x:v>
      </x:c>
      <x:c r="D91" s="47" t="str">
        <x:v>Four days.</x:v>
      </x:c>
      <x:c r="E91" s="47" t="str">
        <x:v>Exact: 4</x:v>
      </x:c>
      <x:c r="F91" s="47" t="str">
        <x:v>Martha pointed out that decomposition would already have begun.</x:v>
      </x:c>
      <x:c r="G91" s="85" t="str">
        <x:v>John 11:17</x:v>
      </x:c>
      <x:c r="H91" s="85" t="str">
        <x:v>John 11:39–44</x:v>
      </x:c>
      <x:c r="I91" s="47" t="str">
        <x:v>Exact biblical number</x:v>
      </x:c>
      <x:c r="J91" s="48" t="n">
        <x:v>4</x:v>
      </x:c>
      <x:c r="K91" s="47" t="str">
        <x:v>days</x:v>
      </x:c>
      <x:c r="L91" s="73" t="str">
        <x:v>https://www.biblegateway.com/passage/?search=John%2011%3A17%3B%20John%2011%3A39%E2%80%9344&amp;version=ESV</x:v>
      </x:c>
      <x:c r="M91" s="49"/>
      <x:c r="N91" s="47"/>
    </x:row>
    <x:row r="92" ht="58" customHeight="1">
      <x:c r="A92" s="98" t="n">
        <x:v>91</x:v>
      </x:c>
      <x:c r="B92" s="55" t="str">
        <x:v>Food, Animals &amp; Objects</x:v>
      </x:c>
      <x:c r="C92" s="55" t="str">
        <x:v>How many stone water jars were at the wedding in Cana?</x:v>
      </x:c>
      <x:c r="D92" s="55" t="str">
        <x:v>Six jars.</x:v>
      </x:c>
      <x:c r="E92" s="55" t="str">
        <x:v>Exact: 6</x:v>
      </x:c>
      <x:c r="F92" s="55" t="str">
        <x:v>Jesus instructed the servants to fill the purification jars with water before turning it into wine.</x:v>
      </x:c>
      <x:c r="G92" s="86" t="str">
        <x:v>John 2:6–9</x:v>
      </x:c>
      <x:c r="H92" s="86" t="str">
        <x:v>John 2:1–5</x:v>
      </x:c>
      <x:c r="I92" s="55" t="str">
        <x:v>Exact biblical number</x:v>
      </x:c>
      <x:c r="J92" s="56" t="n">
        <x:v>6</x:v>
      </x:c>
      <x:c r="K92" s="55" t="str">
        <x:v>jars</x:v>
      </x:c>
      <x:c r="L92" s="74" t="str">
        <x:v>https://www.biblegateway.com/passage/?search=John%202%3A6%E2%80%939%3B%20John%202%3A1%E2%80%935&amp;version=ESV</x:v>
      </x:c>
      <x:c r="M92" s="57"/>
      <x:c r="N92" s="55"/>
    </x:row>
    <x:row r="93" ht="58" customHeight="1">
      <x:c r="A93" s="98" t="n">
        <x:v>92</x:v>
      </x:c>
      <x:c r="B93" s="55" t="str">
        <x:v>Food, Animals &amp; Objects</x:v>
      </x:c>
      <x:c r="C93" s="55" t="str">
        <x:v>About how much liquid could the six Cana water jars hold altogether?</x:v>
      </x:c>
      <x:c r="D93" s="55" t="str">
        <x:v>About 120–180 gallons.</x:v>
      </x:c>
      <x:c r="E93" s="55" t="str">
        <x:v>120–180 gallons</x:v>
      </x:c>
      <x:c r="F93" s="55" t="str">
        <x:v>Each jar held twenty or thirty gallons, producing an exceptionally large quantity.</x:v>
      </x:c>
      <x:c r="G93" s="86" t="str">
        <x:v>John 2:6</x:v>
      </x:c>
      <x:c r="H93" s="86" t="str">
        <x:v>John 2:7–10</x:v>
      </x:c>
      <x:c r="I93" s="55" t="str">
        <x:v>Range stated in translation</x:v>
      </x:c>
      <x:c r="J93" s="56" t="n">
        <x:v>150</x:v>
      </x:c>
      <x:c r="K93" s="55" t="str">
        <x:v>gallons</x:v>
      </x:c>
      <x:c r="L93" s="74" t="str">
        <x:v>https://www.biblegateway.com/passage/?search=John%202%3A6%3B%20John%202%3A7%E2%80%9310&amp;version=ESV</x:v>
      </x:c>
      <x:c r="M93" s="57"/>
      <x:c r="N93" s="55"/>
    </x:row>
    <x:row r="94" ht="58" customHeight="1">
      <x:c r="A94" s="98" t="n">
        <x:v>93</x:v>
      </x:c>
      <x:c r="B94" s="55" t="str">
        <x:v>Food, Animals &amp; Objects</x:v>
      </x:c>
      <x:c r="C94" s="55" t="str">
        <x:v>How many loaves were available before Jesus fed the 5,000?</x:v>
      </x:c>
      <x:c r="D94" s="55" t="str">
        <x:v>Five barley loaves.</x:v>
      </x:c>
      <x:c r="E94" s="55" t="str">
        <x:v>Exact: 5</x:v>
      </x:c>
      <x:c r="F94" s="55" t="str">
        <x:v>A boy had the loaves along with two fish.</x:v>
      </x:c>
      <x:c r="G94" s="86" t="str">
        <x:v>John 6:8–9</x:v>
      </x:c>
      <x:c r="H94" s="86" t="str">
        <x:v>Matthew 14:17–19</x:v>
      </x:c>
      <x:c r="I94" s="55" t="str">
        <x:v>Exact biblical number</x:v>
      </x:c>
      <x:c r="J94" s="56" t="n">
        <x:v>5</x:v>
      </x:c>
      <x:c r="K94" s="55" t="str">
        <x:v>loaves</x:v>
      </x:c>
      <x:c r="L94" s="74" t="str">
        <x:v>https://www.biblegateway.com/passage/?search=John%206%3A8%E2%80%939%3B%20Matthew%2014%3A17%E2%80%9319&amp;version=ESV</x:v>
      </x:c>
      <x:c r="M94" s="57"/>
      <x:c r="N94" s="55"/>
    </x:row>
    <x:row r="95" ht="58" customHeight="1">
      <x:c r="A95" s="98" t="n">
        <x:v>94</x:v>
      </x:c>
      <x:c r="B95" s="55" t="str">
        <x:v>Food, Animals &amp; Objects</x:v>
      </x:c>
      <x:c r="C95" s="55" t="str">
        <x:v>How many fish were available before Jesus fed the 5,000?</x:v>
      </x:c>
      <x:c r="D95" s="55" t="str">
        <x:v>Two fish.</x:v>
      </x:c>
      <x:c r="E95" s="55" t="str">
        <x:v>Exact: 2</x:v>
      </x:c>
      <x:c r="F95" s="55" t="str">
        <x:v>The small meal became enough for the entire crowd.</x:v>
      </x:c>
      <x:c r="G95" s="86" t="str">
        <x:v>John 6:8–9</x:v>
      </x:c>
      <x:c r="H95" s="86" t="str">
        <x:v>Mark 6:38–41</x:v>
      </x:c>
      <x:c r="I95" s="55" t="str">
        <x:v>Exact biblical number</x:v>
      </x:c>
      <x:c r="J95" s="56" t="n">
        <x:v>2</x:v>
      </x:c>
      <x:c r="K95" s="55" t="str">
        <x:v>fish</x:v>
      </x:c>
      <x:c r="L95" s="74" t="str">
        <x:v>https://www.biblegateway.com/passage/?search=John%206%3A8%E2%80%939%3B%20Mark%206%3A38%E2%80%9341&amp;version=ESV</x:v>
      </x:c>
      <x:c r="M95" s="57"/>
      <x:c r="N95" s="55"/>
    </x:row>
    <x:row r="96" ht="58" customHeight="1">
      <x:c r="A96" s="98" t="n">
        <x:v>95</x:v>
      </x:c>
      <x:c r="B96" s="55" t="str">
        <x:v>Food, Animals &amp; Objects</x:v>
      </x:c>
      <x:c r="C96" s="55" t="str">
        <x:v>How many baskets of leftovers were collected after feeding the 5,000?</x:v>
      </x:c>
      <x:c r="D96" s="55" t="str">
        <x:v>Twelve baskets.</x:v>
      </x:c>
      <x:c r="E96" s="55" t="str">
        <x:v>Exact: 12</x:v>
      </x:c>
      <x:c r="F96" s="55" t="str">
        <x:v>The leftovers exceeded the original quantity of food.</x:v>
      </x:c>
      <x:c r="G96" s="86" t="str">
        <x:v>Matthew 14:20</x:v>
      </x:c>
      <x:c r="H96" s="86" t="str">
        <x:v>John 6:12–13</x:v>
      </x:c>
      <x:c r="I96" s="55" t="str">
        <x:v>Exact biblical number</x:v>
      </x:c>
      <x:c r="J96" s="56" t="n">
        <x:v>12</x:v>
      </x:c>
      <x:c r="K96" s="55" t="str">
        <x:v>baskets</x:v>
      </x:c>
      <x:c r="L96" s="74" t="str">
        <x:v>https://www.biblegateway.com/passage/?search=Matthew%2014%3A20%3B%20John%206%3A12%E2%80%9313&amp;version=ESV</x:v>
      </x:c>
      <x:c r="M96" s="57"/>
      <x:c r="N96" s="55"/>
    </x:row>
    <x:row r="97" ht="58" customHeight="1">
      <x:c r="A97" s="98" t="n">
        <x:v>96</x:v>
      </x:c>
      <x:c r="B97" s="55" t="str">
        <x:v>Food, Animals &amp; Objects</x:v>
      </x:c>
      <x:c r="C97" s="55" t="str">
        <x:v>How many loaves were used to feed the 4,000?</x:v>
      </x:c>
      <x:c r="D97" s="55" t="str">
        <x:v>Seven loaves.</x:v>
      </x:c>
      <x:c r="E97" s="55" t="str">
        <x:v>Exact: 7</x:v>
      </x:c>
      <x:c r="F97" s="55" t="str">
        <x:v>A few small fish were also included.</x:v>
      </x:c>
      <x:c r="G97" s="86" t="str">
        <x:v>Matthew 15:34–36</x:v>
      </x:c>
      <x:c r="H97" s="86" t="str">
        <x:v>Mark 8:5–7</x:v>
      </x:c>
      <x:c r="I97" s="55" t="str">
        <x:v>Exact biblical number</x:v>
      </x:c>
      <x:c r="J97" s="56" t="n">
        <x:v>7</x:v>
      </x:c>
      <x:c r="K97" s="55" t="str">
        <x:v>loaves</x:v>
      </x:c>
      <x:c r="L97" s="74" t="str">
        <x:v>https://www.biblegateway.com/passage/?search=Matthew%2015%3A34%E2%80%9336%3B%20Mark%208%3A5%E2%80%937&amp;version=ESV</x:v>
      </x:c>
      <x:c r="M97" s="57"/>
      <x:c r="N97" s="55"/>
    </x:row>
    <x:row r="98" ht="58" customHeight="1">
      <x:c r="A98" s="98" t="n">
        <x:v>97</x:v>
      </x:c>
      <x:c r="B98" s="55" t="str">
        <x:v>Food, Animals &amp; Objects</x:v>
      </x:c>
      <x:c r="C98" s="55" t="str">
        <x:v>How many baskets of leftovers were collected after feeding the 4,000?</x:v>
      </x:c>
      <x:c r="D98" s="55" t="str">
        <x:v>Seven baskets.</x:v>
      </x:c>
      <x:c r="E98" s="55" t="str">
        <x:v>Exact: 7</x:v>
      </x:c>
      <x:c r="F98" s="55" t="str">
        <x:v>The Greek word for these baskets differs from the word used in the feeding of the 5,000 and may indicate larger containers.</x:v>
      </x:c>
      <x:c r="G98" s="86" t="str">
        <x:v>Matthew 15:37</x:v>
      </x:c>
      <x:c r="H98" s="86" t="str">
        <x:v>Mark 8:8</x:v>
      </x:c>
      <x:c r="I98" s="55" t="str">
        <x:v>Exact biblical number</x:v>
      </x:c>
      <x:c r="J98" s="56" t="n">
        <x:v>7</x:v>
      </x:c>
      <x:c r="K98" s="55" t="str">
        <x:v>baskets</x:v>
      </x:c>
      <x:c r="L98" s="74" t="str">
        <x:v>https://www.biblegateway.com/passage/?search=Matthew%2015%3A37%3B%20Mark%208%3A8&amp;version=ESV</x:v>
      </x:c>
      <x:c r="M98" s="57"/>
      <x:c r="N98" s="55"/>
    </x:row>
    <x:row r="99" ht="58" customHeight="1">
      <x:c r="A99" s="98" t="n">
        <x:v>98</x:v>
      </x:c>
      <x:c r="B99" s="55" t="str">
        <x:v>Food, Animals &amp; Objects</x:v>
      </x:c>
      <x:c r="C99" s="55" t="str">
        <x:v>How many Philistines did Samson strike down with a donkey's jawbone?</x:v>
      </x:c>
      <x:c r="D99" s="55" t="str">
        <x:v>1,000 men.</x:v>
      </x:c>
      <x:c r="E99" s="55" t="str">
        <x:v>Exact: 1,000</x:v>
      </x:c>
      <x:c r="F99" s="55" t="str">
        <x:v>Samson then named the place Ramath-lehi, connected with the jawbone victory.</x:v>
      </x:c>
      <x:c r="G99" s="86" t="str">
        <x:v>Judges 15:14–17</x:v>
      </x:c>
      <x:c r="H99" s="86" t="str">
        <x:v>Judges 15:18–19</x:v>
      </x:c>
      <x:c r="I99" s="55" t="str">
        <x:v>Exact biblical number</x:v>
      </x:c>
      <x:c r="J99" s="56" t="n">
        <x:v>1000</x:v>
      </x:c>
      <x:c r="K99" s="55" t="str">
        <x:v>men</x:v>
      </x:c>
      <x:c r="L99" s="74" t="str">
        <x:v>https://www.biblegateway.com/passage/?search=Judges%2015%3A14%E2%80%9317%3B%20Judges%2015%3A18%E2%80%9319&amp;version=ESV</x:v>
      </x:c>
      <x:c r="M99" s="57"/>
      <x:c r="N99" s="55"/>
    </x:row>
    <x:row r="100" ht="58" customHeight="1">
      <x:c r="A100" s="98" t="n">
        <x:v>99</x:v>
      </x:c>
      <x:c r="B100" s="55" t="str">
        <x:v>Food, Animals &amp; Objects</x:v>
      </x:c>
      <x:c r="C100" s="55" t="str">
        <x:v>How many wives did Solomon have?</x:v>
      </x:c>
      <x:c r="D100" s="55" t="str">
        <x:v>700 wives.</x:v>
      </x:c>
      <x:c r="E100" s="55" t="str">
        <x:v>Exact: 700</x:v>
      </x:c>
      <x:c r="F100" s="55" t="str">
        <x:v>The passage says many were princesses and that his wives turned his heart away.</x:v>
      </x:c>
      <x:c r="G100" s="86" t="str">
        <x:v>1 Kings 11:1–3</x:v>
      </x:c>
      <x:c r="H100" s="86" t="str">
        <x:v>Nehemiah 13:26</x:v>
      </x:c>
      <x:c r="I100" s="55" t="str">
        <x:v>Exact biblical number</x:v>
      </x:c>
      <x:c r="J100" s="56" t="n">
        <x:v>700</x:v>
      </x:c>
      <x:c r="K100" s="55" t="str">
        <x:v>wives</x:v>
      </x:c>
      <x:c r="L100" s="74" t="str">
        <x:v>https://www.biblegateway.com/passage/?search=1%20Kings%2011%3A1%E2%80%933%3B%20Nehemiah%2013%3A26&amp;version=ESV</x:v>
      </x:c>
      <x:c r="M100" s="57"/>
      <x:c r="N100" s="55"/>
    </x:row>
    <x:row r="101" ht="58" customHeight="1">
      <x:c r="A101" s="98" t="n">
        <x:v>100</x:v>
      </x:c>
      <x:c r="B101" s="55" t="str">
        <x:v>Food, Animals &amp; Objects</x:v>
      </x:c>
      <x:c r="C101" s="55" t="str">
        <x:v>How many concubines did Solomon have?</x:v>
      </x:c>
      <x:c r="D101" s="55" t="str">
        <x:v>300 concubines.</x:v>
      </x:c>
      <x:c r="E101" s="55" t="str">
        <x:v>Exact: 300</x:v>
      </x:c>
      <x:c r="F101" s="55" t="str">
        <x:v>Together with his wives, the household numbered one thousand women.</x:v>
      </x:c>
      <x:c r="G101" s="86" t="str">
        <x:v>1 Kings 11:3</x:v>
      </x:c>
      <x:c r="H101" s="86" t="str">
        <x:v>1 Kings 11:4</x:v>
      </x:c>
      <x:c r="I101" s="55" t="str">
        <x:v>Exact biblical number</x:v>
      </x:c>
      <x:c r="J101" s="56" t="n">
        <x:v>300</x:v>
      </x:c>
      <x:c r="K101" s="55" t="str">
        <x:v>concubines</x:v>
      </x:c>
      <x:c r="L101" s="74" t="str">
        <x:v>https://www.biblegateway.com/passage/?search=1%20Kings%2011%3A3%3B%201%20Kings%2011%3A4&amp;version=ESV</x:v>
      </x:c>
      <x:c r="M101" s="57"/>
      <x:c r="N101" s="55"/>
    </x:row>
    <x:row r="102" ht="58" customHeight="1">
      <x:c r="A102" s="98" t="n">
        <x:v>101</x:v>
      </x:c>
      <x:c r="B102" s="55" t="str">
        <x:v>Food, Animals &amp; Objects</x:v>
      </x:c>
      <x:c r="C102" s="55" t="str">
        <x:v>How many horsemen did Solomon have?</x:v>
      </x:c>
      <x:c r="D102" s="55" t="str">
        <x:v>12,000 horsemen.</x:v>
      </x:c>
      <x:c r="E102" s="55" t="str">
        <x:v>Exact: 12,000</x:v>
      </x:c>
      <x:c r="F102" s="55" t="str">
        <x:v>They were stationed in chariot cities and with the king in Jerusalem.</x:v>
      </x:c>
      <x:c r="G102" s="86" t="str">
        <x:v>1 Kings 10:26</x:v>
      </x:c>
      <x:c r="H102" s="86" t="str">
        <x:v>2 Chronicles 9:25</x:v>
      </x:c>
      <x:c r="I102" s="55" t="str">
        <x:v>Exact biblical number</x:v>
      </x:c>
      <x:c r="J102" s="56" t="n">
        <x:v>12000</x:v>
      </x:c>
      <x:c r="K102" s="55" t="str">
        <x:v>horsemen</x:v>
      </x:c>
      <x:c r="L102" s="74" t="str">
        <x:v>https://www.biblegateway.com/passage/?search=1%20Kings%2010%3A26%3B%202%20Chronicles%209%3A25&amp;version=ESV</x:v>
      </x:c>
      <x:c r="M102" s="57"/>
      <x:c r="N102" s="55"/>
    </x:row>
    <x:row r="103" ht="58" customHeight="1">
      <x:c r="A103" s="98" t="n">
        <x:v>102</x:v>
      </x:c>
      <x:c r="B103" s="55" t="str">
        <x:v>Food, Animals &amp; Objects</x:v>
      </x:c>
      <x:c r="C103" s="55" t="str">
        <x:v>How many stalls for chariot horses did Solomon have?</x:v>
      </x:c>
      <x:c r="D103" s="55" t="str">
        <x:v>40,000 in 1 Kings; 4,000 in 2 Chronicles.</x:v>
      </x:c>
      <x:c r="E103" s="55" t="str">
        <x:v>Accept either with reference</x:v>
      </x:c>
      <x:c r="F103" s="55" t="str">
        <x:v>The parallel accounts preserve different figures, possibly because of a copying difference or differing counting units.</x:v>
      </x:c>
      <x:c r="G103" s="86" t="str">
        <x:v>1 Kings 4:26</x:v>
      </x:c>
      <x:c r="H103" s="86" t="str">
        <x:v>2 Chronicles 9:25</x:v>
      </x:c>
      <x:c r="I103" s="55" t="str">
        <x:v>Textual parallel difference</x:v>
      </x:c>
      <x:c r="J103" s="56" t="n">
        <x:v>22000</x:v>
      </x:c>
      <x:c r="K103" s="55" t="str">
        <x:v>stalls</x:v>
      </x:c>
      <x:c r="L103" s="74" t="str">
        <x:v>https://www.biblegateway.com/passage/?search=1%20Kings%204%3A26%3B%202%20Chronicles%209%3A25&amp;version=ESV</x:v>
      </x:c>
      <x:c r="M103" s="57"/>
      <x:c r="N103" s="55"/>
    </x:row>
    <x:row r="104" ht="58" customHeight="1">
      <x:c r="A104" s="98" t="n">
        <x:v>103</x:v>
      </x:c>
      <x:c r="B104" s="55" t="str">
        <x:v>Food, Animals &amp; Objects</x:v>
      </x:c>
      <x:c r="C104" s="55" t="str">
        <x:v>How many sheep did Job own before his suffering?</x:v>
      </x:c>
      <x:c r="D104" s="55" t="str">
        <x:v>7,000 sheep.</x:v>
      </x:c>
      <x:c r="E104" s="55" t="str">
        <x:v>Exact: 7,000</x:v>
      </x:c>
      <x:c r="F104" s="55" t="str">
        <x:v>Job's livestock made him one of the greatest men in the East.</x:v>
      </x:c>
      <x:c r="G104" s="86" t="str">
        <x:v>Job 1:3</x:v>
      </x:c>
      <x:c r="H104" s="86" t="str">
        <x:v>Job 1:13–16</x:v>
      </x:c>
      <x:c r="I104" s="55" t="str">
        <x:v>Exact biblical number</x:v>
      </x:c>
      <x:c r="J104" s="56" t="n">
        <x:v>7000</x:v>
      </x:c>
      <x:c r="K104" s="55" t="str">
        <x:v>sheep</x:v>
      </x:c>
      <x:c r="L104" s="74" t="str">
        <x:v>https://www.biblegateway.com/passage/?search=Job%201%3A3%3B%20Job%201%3A13%E2%80%9316&amp;version=ESV</x:v>
      </x:c>
      <x:c r="M104" s="57"/>
      <x:c r="N104" s="55"/>
    </x:row>
    <x:row r="105" ht="58" customHeight="1">
      <x:c r="A105" s="98" t="n">
        <x:v>104</x:v>
      </x:c>
      <x:c r="B105" s="55" t="str">
        <x:v>Food, Animals &amp; Objects</x:v>
      </x:c>
      <x:c r="C105" s="55" t="str">
        <x:v>How many camels did Job own before his suffering?</x:v>
      </x:c>
      <x:c r="D105" s="55" t="str">
        <x:v>3,000 camels.</x:v>
      </x:c>
      <x:c r="E105" s="55" t="str">
        <x:v>Exact: 3,000</x:v>
      </x:c>
      <x:c r="F105" s="55" t="str">
        <x:v>The Chaldeans raided the camels during Job's calamities.</x:v>
      </x:c>
      <x:c r="G105" s="86" t="str">
        <x:v>Job 1:3</x:v>
      </x:c>
      <x:c r="H105" s="86" t="str">
        <x:v>Job 1:17</x:v>
      </x:c>
      <x:c r="I105" s="55" t="str">
        <x:v>Exact biblical number</x:v>
      </x:c>
      <x:c r="J105" s="56" t="n">
        <x:v>3000</x:v>
      </x:c>
      <x:c r="K105" s="55" t="str">
        <x:v>camels</x:v>
      </x:c>
      <x:c r="L105" s="74" t="str">
        <x:v>https://www.biblegateway.com/passage/?search=Job%201%3A3%3B%20Job%201%3A17&amp;version=ESV</x:v>
      </x:c>
      <x:c r="M105" s="57"/>
      <x:c r="N105" s="55"/>
    </x:row>
    <x:row r="106" ht="58" customHeight="1">
      <x:c r="A106" s="98" t="n">
        <x:v>105</x:v>
      </x:c>
      <x:c r="B106" s="55" t="str">
        <x:v>Food, Animals &amp; Objects</x:v>
      </x:c>
      <x:c r="C106" s="55" t="str">
        <x:v>How many oxen did Job own before his suffering?</x:v>
      </x:c>
      <x:c r="D106" s="55" t="str">
        <x:v>500 yoke, meaning about 1,000 oxen.</x:v>
      </x:c>
      <x:c r="E106" s="55" t="str">
        <x:v>Exact: 500 yoke or 1,000 animals</x:v>
      </x:c>
      <x:c r="F106" s="55" t="str">
        <x:v>A yoke is a working pair of oxen.</x:v>
      </x:c>
      <x:c r="G106" s="86" t="str">
        <x:v>Job 1:3</x:v>
      </x:c>
      <x:c r="H106" s="86" t="str">
        <x:v>Job 1:14–15</x:v>
      </x:c>
      <x:c r="I106" s="55" t="str">
        <x:v>Derived biblical number</x:v>
      </x:c>
      <x:c r="J106" s="56" t="n">
        <x:v>1000</x:v>
      </x:c>
      <x:c r="K106" s="55" t="str">
        <x:v>oxen</x:v>
      </x:c>
      <x:c r="L106" s="74" t="str">
        <x:v>https://www.biblegateway.com/passage/?search=Job%201%3A3%3B%20Job%201%3A14%E2%80%9315&amp;version=ESV</x:v>
      </x:c>
      <x:c r="M106" s="57"/>
      <x:c r="N106" s="55"/>
    </x:row>
    <x:row r="107" ht="58" customHeight="1">
      <x:c r="A107" s="98" t="n">
        <x:v>106</x:v>
      </x:c>
      <x:c r="B107" s="55" t="str">
        <x:v>Food, Animals &amp; Objects</x:v>
      </x:c>
      <x:c r="C107" s="55" t="str">
        <x:v>How many female donkeys did Job own before his suffering?</x:v>
      </x:c>
      <x:c r="D107" s="55" t="str">
        <x:v>500.</x:v>
      </x:c>
      <x:c r="E107" s="55" t="str">
        <x:v>Exact: 500</x:v>
      </x:c>
      <x:c r="F107" s="55" t="str">
        <x:v>The donkeys were feeding beside the oxen when the Sabeans attacked.</x:v>
      </x:c>
      <x:c r="G107" s="86" t="str">
        <x:v>Job 1:3</x:v>
      </x:c>
      <x:c r="H107" s="86" t="str">
        <x:v>Job 1:14–15</x:v>
      </x:c>
      <x:c r="I107" s="55" t="str">
        <x:v>Exact biblical number</x:v>
      </x:c>
      <x:c r="J107" s="56" t="n">
        <x:v>500</x:v>
      </x:c>
      <x:c r="K107" s="55" t="str">
        <x:v>donkeys</x:v>
      </x:c>
      <x:c r="L107" s="74" t="str">
        <x:v>https://www.biblegateway.com/passage/?search=Job%201%3A3%3B%20Job%201%3A14%E2%80%9315&amp;version=ESV</x:v>
      </x:c>
      <x:c r="M107" s="57"/>
      <x:c r="N107" s="55"/>
    </x:row>
    <x:row r="108" ht="58" customHeight="1">
      <x:c r="A108" s="98" t="n">
        <x:v>107</x:v>
      </x:c>
      <x:c r="B108" s="55" t="str">
        <x:v>Food, Animals &amp; Objects</x:v>
      </x:c>
      <x:c r="C108" s="55" t="str">
        <x:v>How many sheep did Job own after God restored him?</x:v>
      </x:c>
      <x:c r="D108" s="55" t="str">
        <x:v>14,000 sheep.</x:v>
      </x:c>
      <x:c r="E108" s="55" t="str">
        <x:v>Exact: 14,000</x:v>
      </x:c>
      <x:c r="F108" s="55" t="str">
        <x:v>Job's later livestock holdings were double his original holdings.</x:v>
      </x:c>
      <x:c r="G108" s="86" t="str">
        <x:v>Job 42:10–12</x:v>
      </x:c>
      <x:c r="H108" s="86" t="str">
        <x:v>Job 1:3</x:v>
      </x:c>
      <x:c r="I108" s="55" t="str">
        <x:v>Exact biblical number</x:v>
      </x:c>
      <x:c r="J108" s="56" t="n">
        <x:v>14000</x:v>
      </x:c>
      <x:c r="K108" s="55" t="str">
        <x:v>sheep</x:v>
      </x:c>
      <x:c r="L108" s="74" t="str">
        <x:v>https://www.biblegateway.com/passage/?search=Job%2042%3A10%E2%80%9312%3B%20Job%201%3A3&amp;version=ESV</x:v>
      </x:c>
      <x:c r="M108" s="57"/>
      <x:c r="N108" s="55"/>
    </x:row>
    <x:row r="109" ht="58" customHeight="1">
      <x:c r="A109" s="98" t="n">
        <x:v>108</x:v>
      </x:c>
      <x:c r="B109" s="55" t="str">
        <x:v>Food, Animals &amp; Objects</x:v>
      </x:c>
      <x:c r="C109" s="55" t="str">
        <x:v>How many camels did Job own after his restoration?</x:v>
      </x:c>
      <x:c r="D109" s="55" t="str">
        <x:v>6,000 camels.</x:v>
      </x:c>
      <x:c r="E109" s="55" t="str">
        <x:v>Exact: 6,000</x:v>
      </x:c>
      <x:c r="F109" s="55" t="str">
        <x:v>This was twice the number of camels Job owned before his suffering.</x:v>
      </x:c>
      <x:c r="G109" s="86" t="str">
        <x:v>Job 42:12</x:v>
      </x:c>
      <x:c r="H109" s="86" t="str">
        <x:v>Job 1:3</x:v>
      </x:c>
      <x:c r="I109" s="55" t="str">
        <x:v>Exact biblical number</x:v>
      </x:c>
      <x:c r="J109" s="56" t="n">
        <x:v>6000</x:v>
      </x:c>
      <x:c r="K109" s="55" t="str">
        <x:v>camels</x:v>
      </x:c>
      <x:c r="L109" s="74" t="str">
        <x:v>https://www.biblegateway.com/passage/?search=Job%2042%3A12%3B%20Job%201%3A3&amp;version=ESV</x:v>
      </x:c>
      <x:c r="M109" s="57"/>
      <x:c r="N109" s="55"/>
    </x:row>
    <x:row r="110" ht="58" customHeight="1">
      <x:c r="A110" s="98" t="n">
        <x:v>109</x:v>
      </x:c>
      <x:c r="B110" s="55" t="str">
        <x:v>Food, Animals &amp; Objects</x:v>
      </x:c>
      <x:c r="C110" s="55" t="str">
        <x:v>How many oxen did Job own after his restoration?</x:v>
      </x:c>
      <x:c r="D110" s="55" t="str">
        <x:v>1,000 yoke, meaning about 2,000 oxen.</x:v>
      </x:c>
      <x:c r="E110" s="55" t="str">
        <x:v>Exact: 1,000 yoke or 2,000 animals</x:v>
      </x:c>
      <x:c r="F110" s="55" t="str">
        <x:v>The restored number was double his original 500 yoke.</x:v>
      </x:c>
      <x:c r="G110" s="86" t="str">
        <x:v>Job 42:12</x:v>
      </x:c>
      <x:c r="H110" s="86" t="str">
        <x:v>Job 1:3</x:v>
      </x:c>
      <x:c r="I110" s="55" t="str">
        <x:v>Derived biblical number</x:v>
      </x:c>
      <x:c r="J110" s="56" t="n">
        <x:v>2000</x:v>
      </x:c>
      <x:c r="K110" s="55" t="str">
        <x:v>oxen</x:v>
      </x:c>
      <x:c r="L110" s="74" t="str">
        <x:v>https://www.biblegateway.com/passage/?search=Job%2042%3A12%3B%20Job%201%3A3&amp;version=ESV</x:v>
      </x:c>
      <x:c r="M110" s="57"/>
      <x:c r="N110" s="55"/>
    </x:row>
    <x:row r="111" ht="58" customHeight="1">
      <x:c r="A111" s="98" t="n">
        <x:v>110</x:v>
      </x:c>
      <x:c r="B111" s="55" t="str">
        <x:v>Food, Animals &amp; Objects</x:v>
      </x:c>
      <x:c r="C111" s="55" t="str">
        <x:v>How many female donkeys did Job own after his restoration?</x:v>
      </x:c>
      <x:c r="D111" s="55" t="str">
        <x:v>1,000.</x:v>
      </x:c>
      <x:c r="E111" s="55" t="str">
        <x:v>Exact: 1,000</x:v>
      </x:c>
      <x:c r="F111" s="55" t="str">
        <x:v>This was double the 500 donkeys listed at the beginning of Job.</x:v>
      </x:c>
      <x:c r="G111" s="86" t="str">
        <x:v>Job 42:12</x:v>
      </x:c>
      <x:c r="H111" s="86" t="str">
        <x:v>Job 1:3</x:v>
      </x:c>
      <x:c r="I111" s="55" t="str">
        <x:v>Exact biblical number</x:v>
      </x:c>
      <x:c r="J111" s="56" t="n">
        <x:v>1000</x:v>
      </x:c>
      <x:c r="K111" s="55" t="str">
        <x:v>donkeys</x:v>
      </x:c>
      <x:c r="L111" s="74" t="str">
        <x:v>https://www.biblegateway.com/passage/?search=Job%2042%3A12%3B%20Job%201%3A3&amp;version=ESV</x:v>
      </x:c>
      <x:c r="M111" s="57"/>
      <x:c r="N111" s="55"/>
    </x:row>
    <x:row r="112" ht="58" customHeight="1">
      <x:c r="A112" s="99" t="n">
        <x:v>111</x:v>
      </x:c>
      <x:c r="B112" s="63" t="str">
        <x:v>Cities &amp; Archaeology</x:v>
      </x:c>
      <x:c r="C112" s="63" t="str">
        <x:v>About how many permanent residents may Jerusalem have had around the time of Jesus?</x:v>
      </x:c>
      <x:c r="D112" s="63" t="str">
        <x:v>A common estimate is roughly 40,000.</x:v>
      </x:c>
      <x:c r="E112" s="63" t="str">
        <x:v>25,000–80,000</x:v>
      </x:c>
      <x:c r="F112" s="63" t="str">
        <x:v>Ancient population estimates vary widely because no modern census survives. Jerusalem's population surged during major pilgrimage festivals.</x:v>
      </x:c>
      <x:c r="G112" s="87" t="str">
        <x:v>Luke 2:41–44</x:v>
      </x:c>
      <x:c r="H112" s="87" t="str">
        <x:v>Acts 2:5–11</x:v>
      </x:c>
      <x:c r="I112" s="63" t="str">
        <x:v>Archaeological estimate</x:v>
      </x:c>
      <x:c r="J112" s="64" t="n">
        <x:v>40000</x:v>
      </x:c>
      <x:c r="K112" s="63" t="str">
        <x:v>people</x:v>
      </x:c>
      <x:c r="L112" s="75" t="str">
        <x:v>https://www.biblicalarchaeology.org/daily/biblical-sites-places/jerusalem/the-population-of-jerusalem-in-jesus-time/</x:v>
      </x:c>
      <x:c r="M112" s="65"/>
      <x:c r="N112" s="63"/>
    </x:row>
    <x:row r="113" ht="58" customHeight="1">
      <x:c r="A113" s="99" t="n">
        <x:v>112</x:v>
      </x:c>
      <x:c r="B113" s="63" t="str">
        <x:v>Cities &amp; Archaeology</x:v>
      </x:c>
      <x:c r="C113" s="63" t="str">
        <x:v>During a major pilgrimage festival, about how large might Jerusalem's temporary population have become?</x:v>
      </x:c>
      <x:c r="D113" s="63" t="str">
        <x:v>Roughly 150,000 is a usable game estimate.</x:v>
      </x:c>
      <x:c r="E113" s="63" t="str">
        <x:v>80,000–250,000</x:v>
      </x:c>
      <x:c r="F113" s="63" t="str">
        <x:v>Pilgrims came from throughout the Jewish world. Ancient literary claims can be much higher, so this question should be treated as an estimate rather than a fixed fact.</x:v>
      </x:c>
      <x:c r="G113" s="87" t="str">
        <x:v>Luke 2:41–44</x:v>
      </x:c>
      <x:c r="H113" s="87" t="str">
        <x:v>John 12:12–19</x:v>
      </x:c>
      <x:c r="I113" s="63" t="str">
        <x:v>Archaeological estimate</x:v>
      </x:c>
      <x:c r="J113" s="64" t="n">
        <x:v>150000</x:v>
      </x:c>
      <x:c r="K113" s="63" t="str">
        <x:v>people</x:v>
      </x:c>
      <x:c r="L113" s="75" t="str">
        <x:v>https://www.biblicalarchaeology.org/daily/biblical-sites-places/jerusalem/the-population-of-jerusalem-in-jesus-time/</x:v>
      </x:c>
      <x:c r="M113" s="65"/>
      <x:c r="N113" s="63"/>
    </x:row>
    <x:row r="114" ht="58" customHeight="1">
      <x:c r="A114" s="99" t="n">
        <x:v>113</x:v>
      </x:c>
      <x:c r="B114" s="63" t="str">
        <x:v>Cities &amp; Archaeology</x:v>
      </x:c>
      <x:c r="C114" s="63" t="str">
        <x:v>About how many people lived in the city of Rome near the height of the Roman Empire?</x:v>
      </x:c>
      <x:c r="D114" s="63" t="str">
        <x:v>About 1 million.</x:v>
      </x:c>
      <x:c r="E114" s="63" t="str">
        <x:v>750,000–1,200,000</x:v>
      </x:c>
      <x:c r="F114" s="63" t="str">
        <x:v>Rome was likely the largest city in the Mediterranean world and was sustained by food shipments from across the empire.</x:v>
      </x:c>
      <x:c r="G114" s="87" t="str">
        <x:v>Acts 28:14–16</x:v>
      </x:c>
      <x:c r="H114" s="87" t="str">
        <x:v>Romans 1:7</x:v>
      </x:c>
      <x:c r="I114" s="63" t="str">
        <x:v>Historical population estimate</x:v>
      </x:c>
      <x:c r="J114" s="64" t="n">
        <x:v>1000000</x:v>
      </x:c>
      <x:c r="K114" s="63" t="str">
        <x:v>people</x:v>
      </x:c>
      <x:c r="L114" s="75" t="str">
        <x:v>https://en.wikipedia.org/wiki/Demography_of_the_Roman_Empire</x:v>
      </x:c>
      <x:c r="M114" s="65"/>
      <x:c r="N114" s="63"/>
    </x:row>
    <x:row r="115" ht="58" customHeight="1">
      <x:c r="A115" s="99" t="n">
        <x:v>114</x:v>
      </x:c>
      <x:c r="B115" s="63" t="str">
        <x:v>Cities &amp; Archaeology</x:v>
      </x:c>
      <x:c r="C115" s="63" t="str">
        <x:v>About how many people may have lived in Alexandria during the early Roman period?</x:v>
      </x:c>
      <x:c r="D115" s="63" t="str">
        <x:v>Roughly 500,000.</x:v>
      </x:c>
      <x:c r="E115" s="63" t="str">
        <x:v>300,000–700,000</x:v>
      </x:c>
      <x:c r="F115" s="63" t="str">
        <x:v>Alexandria was one of the Mediterranean's largest centers of trade, scholarship and Jewish life.</x:v>
      </x:c>
      <x:c r="G115" s="87" t="str">
        <x:v>Acts 18:24</x:v>
      </x:c>
      <x:c r="H115" s="87" t="str">
        <x:v>Acts 27:6</x:v>
      </x:c>
      <x:c r="I115" s="63" t="str">
        <x:v>Historical population estimate</x:v>
      </x:c>
      <x:c r="J115" s="64" t="n">
        <x:v>500000</x:v>
      </x:c>
      <x:c r="K115" s="63" t="str">
        <x:v>people</x:v>
      </x:c>
      <x:c r="L115" s="75" t="str">
        <x:v>https://www.theguardian.com/commentisfree/2024/dec/25/birth-jesus-plague-roman-empire-christianity</x:v>
      </x:c>
      <x:c r="M115" s="65"/>
      <x:c r="N115" s="63"/>
    </x:row>
    <x:row r="116" ht="58" customHeight="1">
      <x:c r="A116" s="99" t="n">
        <x:v>115</x:v>
      </x:c>
      <x:c r="B116" s="63" t="str">
        <x:v>Cities &amp; Archaeology</x:v>
      </x:c>
      <x:c r="C116" s="63" t="str">
        <x:v>About how many people may have lived in Antioch of Syria in the Roman period?</x:v>
      </x:c>
      <x:c r="D116" s="63" t="str">
        <x:v>Roughly 200,000–250,000.</x:v>
      </x:c>
      <x:c r="E116" s="63" t="str">
        <x:v>150,000–300,000</x:v>
      </x:c>
      <x:c r="F116" s="63" t="str">
        <x:v>Antioch was one of the Roman East's largest cities and became a major early-Christian center.</x:v>
      </x:c>
      <x:c r="G116" s="87" t="str">
        <x:v>Acts 11:19–26</x:v>
      </x:c>
      <x:c r="H116" s="87" t="str">
        <x:v>Acts 13:1–3</x:v>
      </x:c>
      <x:c r="I116" s="63" t="str">
        <x:v>Historical population estimate</x:v>
      </x:c>
      <x:c r="J116" s="64" t="n">
        <x:v>225000</x:v>
      </x:c>
      <x:c r="K116" s="63" t="str">
        <x:v>people</x:v>
      </x:c>
      <x:c r="L116" s="75" t="str">
        <x:v>https://en.wikipedia.org/wiki/Roman_Syria</x:v>
      </x:c>
      <x:c r="M116" s="65"/>
      <x:c r="N116" s="63"/>
    </x:row>
    <x:row r="117" ht="58" customHeight="1">
      <x:c r="A117" s="99" t="n">
        <x:v>116</x:v>
      </x:c>
      <x:c r="B117" s="63" t="str">
        <x:v>Cities &amp; Archaeology</x:v>
      </x:c>
      <x:c r="C117" s="63" t="str">
        <x:v>About how many people probably lived in Nazareth when Jesus grew up there?</x:v>
      </x:c>
      <x:c r="D117" s="63" t="str">
        <x:v>Probably only a few hundred; use about 400.</x:v>
      </x:c>
      <x:c r="E117" s="63" t="str">
        <x:v>200–500</x:v>
      </x:c>
      <x:c r="F117" s="63" t="str">
        <x:v>Archaeology indicates Nazareth was a small Jewish village, not a major city. Modern scholarly estimates have been revised downward.</x:v>
      </x:c>
      <x:c r="G117" s="87" t="str">
        <x:v>Matthew 2:23</x:v>
      </x:c>
      <x:c r="H117" s="87" t="str">
        <x:v>Luke 4:16–30</x:v>
      </x:c>
      <x:c r="I117" s="63" t="str">
        <x:v>Archaeological estimate</x:v>
      </x:c>
      <x:c r="J117" s="64" t="n">
        <x:v>400</x:v>
      </x:c>
      <x:c r="K117" s="63" t="str">
        <x:v>people</x:v>
      </x:c>
      <x:c r="L117" s="75" t="str">
        <x:v>https://www.biblicalarchaeology.org/daily/biblical-sites-places/exploring-jesuss-hometown/</x:v>
      </x:c>
      <x:c r="M117" s="65"/>
      <x:c r="N117" s="63"/>
    </x:row>
    <x:row r="118" ht="58" customHeight="1">
      <x:c r="A118" s="99" t="n">
        <x:v>117</x:v>
      </x:c>
      <x:c r="B118" s="63" t="str">
        <x:v>Cities &amp; Archaeology</x:v>
      </x:c>
      <x:c r="C118" s="63" t="str">
        <x:v>About how many people may have lived in Capernaum during Jesus's ministry?</x:v>
      </x:c>
      <x:c r="D118" s="63" t="str">
        <x:v>Roughly 1,200–1,700.</x:v>
      </x:c>
      <x:c r="E118" s="63" t="str">
        <x:v>1,000–2,000</x:v>
      </x:c>
      <x:c r="F118" s="63" t="str">
        <x:v>Capernaum was a fishing village and ministry base for Jesus, but it lacked the monumental structures of a large city.</x:v>
      </x:c>
      <x:c r="G118" s="87" t="str">
        <x:v>Matthew 4:13</x:v>
      </x:c>
      <x:c r="H118" s="87" t="str">
        <x:v>Mark 2:1–4</x:v>
      </x:c>
      <x:c r="I118" s="63" t="str">
        <x:v>Archaeological estimate</x:v>
      </x:c>
      <x:c r="J118" s="64" t="n">
        <x:v>1450</x:v>
      </x:c>
      <x:c r="K118" s="63" t="str">
        <x:v>people</x:v>
      </x:c>
      <x:c r="L118" s="75" t="str">
        <x:v>https://davidbcapes.com/articles/brief-articles/first-century-capernaum/</x:v>
      </x:c>
      <x:c r="M118" s="65"/>
      <x:c r="N118" s="63"/>
    </x:row>
    <x:row r="119" ht="58" customHeight="1">
      <x:c r="A119" s="99" t="n">
        <x:v>118</x:v>
      </x:c>
      <x:c r="B119" s="63" t="str">
        <x:v>Cities &amp; Archaeology</x:v>
      </x:c>
      <x:c r="C119" s="63" t="str">
        <x:v>Using a modern archaeological demographic model, about how many people may Roman Ephesus have held?</x:v>
      </x:c>
      <x:c r="D119" s="63" t="str">
        <x:v>About 70,000.</x:v>
      </x:c>
      <x:c r="E119" s="63" t="str">
        <x:v>50,000–100,000</x:v>
      </x:c>
      <x:c r="F119" s="63" t="str">
        <x:v>Older popular estimates reached 200,000 or more, but newer models often produce substantially lower figures.</x:v>
      </x:c>
      <x:c r="G119" s="87" t="str">
        <x:v>Acts 19:23–41</x:v>
      </x:c>
      <x:c r="H119" s="87" t="str">
        <x:v>Revelation 2:1–7</x:v>
      </x:c>
      <x:c r="I119" s="63" t="str">
        <x:v>Archaeological estimate</x:v>
      </x:c>
      <x:c r="J119" s="64" t="n">
        <x:v>71587</x:v>
      </x:c>
      <x:c r="K119" s="63" t="str">
        <x:v>people</x:v>
      </x:c>
      <x:c r="L119" s="75" t="str">
        <x:v>https://en.wikipedia.org/wiki/Ephesus</x:v>
      </x:c>
      <x:c r="M119" s="65"/>
      <x:c r="N119" s="63"/>
    </x:row>
    <x:row r="120" ht="58" customHeight="1">
      <x:c r="A120" s="99" t="n">
        <x:v>119</x:v>
      </x:c>
      <x:c r="B120" s="63" t="str">
        <x:v>Cities &amp; Archaeology</x:v>
      </x:c>
      <x:c r="C120" s="63" t="str">
        <x:v>About how many urban residents may Roman Corinth have had in Paul's day?</x:v>
      </x:c>
      <x:c r="D120" s="63" t="str">
        <x:v>Roughly 30,000–50,000 urban residents.</x:v>
      </x:c>
      <x:c r="E120" s="63" t="str">
        <x:v>30,000–60,000</x:v>
      </x:c>
      <x:c r="F120" s="63" t="str">
        <x:v>The wider territory likely held additional rural residents. Population estimates for Roman Corinth differ substantially.</x:v>
      </x:c>
      <x:c r="G120" s="87" t="str">
        <x:v>Acts 18:1–11</x:v>
      </x:c>
      <x:c r="H120" s="87" t="str">
        <x:v>1 Corinthians 1:2</x:v>
      </x:c>
      <x:c r="I120" s="63" t="str">
        <x:v>Historical population estimate</x:v>
      </x:c>
      <x:c r="J120" s="64" t="n">
        <x:v>40000</x:v>
      </x:c>
      <x:c r="K120" s="63" t="str">
        <x:v>urban residents</x:v>
      </x:c>
      <x:c r="L120" s="75" t="str">
        <x:v>https://kmooreperspective.blogspot.com/2015/12/the-ancient-city-of-corinth.html</x:v>
      </x:c>
      <x:c r="M120" s="65"/>
      <x:c r="N120" s="63"/>
    </x:row>
    <x:row r="121" ht="58" customHeight="1">
      <x:c r="A121" s="99" t="n">
        <x:v>120</x:v>
      </x:c>
      <x:c r="B121" s="63" t="str">
        <x:v>Cities &amp; Archaeology</x:v>
      </x:c>
      <x:c r="C121" s="63" t="str">
        <x:v>About how many people may have lived in Bethlehem when Jesus was born?</x:v>
      </x:c>
      <x:c r="D121" s="63" t="str">
        <x:v>A common estimate is about 300.</x:v>
      </x:c>
      <x:c r="E121" s="63" t="str">
        <x:v>200–1,000</x:v>
      </x:c>
      <x:c r="F121" s="63" t="str">
        <x:v>Bethlehem was probably a small Judean village, which fits its description as an unexpectedly humble birthplace.</x:v>
      </x:c>
      <x:c r="G121" s="87" t="str">
        <x:v>Matthew 2:1–6</x:v>
      </x:c>
      <x:c r="H121" s="87" t="str">
        <x:v>Luke 2:4–7</x:v>
      </x:c>
      <x:c r="I121" s="63" t="str">
        <x:v>Archaeological estimate</x:v>
      </x:c>
      <x:c r="J121" s="64" t="n">
        <x:v>300</x:v>
      </x:c>
      <x:c r="K121" s="63" t="str">
        <x:v>people</x:v>
      </x:c>
      <x:c r="L121" s="75" t="str">
        <x:v>https://biblearchaeologyreport.com/2021/12/10/o-little-town-of-bethlehem-2/</x:v>
      </x:c>
      <x:c r="M121" s="65"/>
      <x:c r="N121" s="63"/>
    </x:row>
  </x:sheetData>
  <x:conditionalFormatting sqref="M2:M121">
    <x:cfRule type="dataBar" priority="1">
      <x:dataBar>
        <x:cfvo type="min"/>
        <x:cfvo type="max"/>
        <x:color rgb="FFD6B656"/>
      </x:dataBar>
      <x:extLst>
        <x:ext xmlns:x14="http://schemas.microsoft.com/office/spreadsheetml/2009/9/main" uri="{B025F937-C7B1-47D3-B67F-A62EFF666E3E}">
          <x14:id>{EF82778D-90ED-5A6B-FDE8-A63A79234ED4}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f58d6c0aaa94d1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82778D-90ED-5A6B-FDE8-A63A79234ED4}">
            <x14:dataBar gradient="1">
              <x14:cfvo type="min"/>
              <x14:cfvo type="max"/>
              <x14:fillColor rgb="FFD6B656"/>
            </x14:dataBar>
          </x14:cfRule>
          <xm:sqref>M2:M121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6" customHeight="1">
      <x:c r="A1" s="196" t="str">
        <x:v>Bible Price Is Right — Host View</x:v>
      </x:c>
      <x:c r="B1" s="196"/>
      <x:c r="C1" s="196"/>
      <x:c r="D1" s="196"/>
      <x:c r="E1" s="196"/>
      <x:c r="F1" s="196"/>
    </x:row>
    <x:row r="2">
      <x:c r="A2" s="112"/>
      <x:c r="B2" s="112"/>
      <x:c r="C2" s="112"/>
      <x:c r="D2" s="112"/>
      <x:c r="E2" s="112"/>
      <x:c r="F2" s="112"/>
    </x:row>
    <x:row r="3">
      <x:c r="A3" s="210" t="str">
        <x:v>Question #</x:v>
      </x:c>
      <x:c r="B3" s="211" t="n">
        <x:v>1</x:v>
      </x:c>
      <x:c r="C3" s="112"/>
      <x:c r="D3" s="112"/>
      <x:c r="E3" s="112"/>
      <x:c r="F3" s="112"/>
    </x:row>
    <x:row r="4">
      <x:c r="A4" s="212" t="str">
        <x:v>Reveal answer?</x:v>
      </x:c>
      <x:c r="B4" s="213" t="str">
        <x:v>Hidden</x:v>
      </x:c>
      <x:c r="C4" s="112"/>
      <x:c r="D4" s="112"/>
      <x:c r="E4" s="112"/>
      <x:c r="F4" s="112"/>
    </x:row>
    <x:row r="5">
      <x:c r="A5" s="112"/>
      <x:c r="B5" s="112"/>
      <x:c r="C5" s="112"/>
      <x:c r="D5" s="112"/>
      <x:c r="E5" s="112"/>
      <x:c r="F5" s="112"/>
    </x:row>
    <x:row r="6">
      <x:c r="A6" s="218" t="str">
        <x:v>QUESTION</x:v>
      </x:c>
      <x:c r="B6" s="219"/>
      <x:c r="C6" s="219"/>
      <x:c r="D6" s="219"/>
      <x:c r="E6" s="219"/>
      <x:c r="F6" s="220"/>
    </x:row>
    <x:row r="7">
      <x:c r="A7" s="221" t="str">
        <x:f>IFERROR(INDEX('Game Bank'!$C$2:$C$121,MATCH($B$3,'Game Bank'!$A$2:$A$121,0)),"")</x:f>
        <x:v>How much did one biblical talent weigh?</x:v>
      </x:c>
      <x:c r="B7" s="144"/>
      <x:c r="C7" s="144"/>
      <x:c r="D7" s="144"/>
      <x:c r="E7" s="144"/>
      <x:c r="F7" s="222"/>
    </x:row>
    <x:row r="8">
      <x:c r="A8" s="221"/>
      <x:c r="B8" s="144"/>
      <x:c r="C8" s="144"/>
      <x:c r="D8" s="144"/>
      <x:c r="E8" s="144"/>
      <x:c r="F8" s="222"/>
    </x:row>
    <x:row r="9">
      <x:c r="A9" s="223"/>
      <x:c r="B9" s="224"/>
      <x:c r="C9" s="224"/>
      <x:c r="D9" s="224"/>
      <x:c r="E9" s="224"/>
      <x:c r="F9" s="225"/>
    </x:row>
    <x:row r="10">
      <x:c r="A10" s="112"/>
      <x:c r="B10" s="112"/>
      <x:c r="C10" s="112"/>
      <x:c r="D10" s="112"/>
      <x:c r="E10" s="112"/>
      <x:c r="F10" s="112"/>
    </x:row>
    <x:row r="11">
      <x:c r="A11" s="218" t="str">
        <x:v>CATEGORY</x:v>
      </x:c>
      <x:c r="B11" s="219"/>
      <x:c r="C11" s="219"/>
      <x:c r="D11" s="219" t="str">
        <x:v>FACT TYPE</x:v>
      </x:c>
      <x:c r="E11" s="219"/>
      <x:c r="F11" s="220"/>
    </x:row>
    <x:row r="12">
      <x:c r="A12" s="234" t="str">
        <x:f>IFERROR(INDEX('Game Bank'!$B$2:$B$121,MATCH($B$3,'Game Bank'!$A$2:$A$121,0)),"")</x:f>
        <x:v>Money &amp; Value</x:v>
      </x:c>
      <x:c r="B12" s="235"/>
      <x:c r="C12" s="235"/>
      <x:c r="D12" s="235" t="str">
        <x:f>IFERROR(INDEX('Game Bank'!$I$2:$I$121,MATCH($B$3,'Game Bank'!$A$2:$A$121,0)),"")</x:f>
        <x:v>Historical conversion</x:v>
      </x:c>
      <x:c r="E12" s="235"/>
      <x:c r="F12" s="236"/>
    </x:row>
    <x:row r="13">
      <x:c r="A13" s="112"/>
      <x:c r="B13" s="112"/>
      <x:c r="C13" s="112"/>
      <x:c r="D13" s="112"/>
      <x:c r="E13" s="112"/>
      <x:c r="F13" s="112"/>
    </x:row>
    <x:row r="14">
      <x:c r="A14" s="218" t="str">
        <x:v>ANSWER</x:v>
      </x:c>
      <x:c r="B14" s="219"/>
      <x:c r="C14" s="219"/>
      <x:c r="D14" s="219"/>
      <x:c r="E14" s="219"/>
      <x:c r="F14" s="220"/>
    </x:row>
    <x:row r="15">
      <x:c r="A15" s="240" t="str">
        <x:f>IF($B$4="Reveal",IFERROR(INDEX('Game Bank'!$D$2:$D$121,MATCH($B$3,'Game Bank'!$A$2:$A$121,0)),""),"ANSWER HIDDEN")</x:f>
        <x:v>ANSWER HIDDEN</x:v>
      </x:c>
      <x:c r="B15" s="160"/>
      <x:c r="C15" s="160"/>
      <x:c r="D15" s="160"/>
      <x:c r="E15" s="160"/>
      <x:c r="F15" s="241"/>
    </x:row>
    <x:row r="16">
      <x:c r="A16" s="240"/>
      <x:c r="B16" s="160"/>
      <x:c r="C16" s="160"/>
      <x:c r="D16" s="160"/>
      <x:c r="E16" s="160"/>
      <x:c r="F16" s="241"/>
    </x:row>
    <x:row r="17">
      <x:c r="A17" s="242"/>
      <x:c r="B17" s="243"/>
      <x:c r="C17" s="243"/>
      <x:c r="D17" s="243"/>
      <x:c r="E17" s="243"/>
      <x:c r="F17" s="244"/>
    </x:row>
    <x:row r="18">
      <x:c r="A18" s="112"/>
      <x:c r="B18" s="112"/>
      <x:c r="C18" s="112"/>
      <x:c r="D18" s="112"/>
      <x:c r="E18" s="112"/>
      <x:c r="F18" s="112"/>
    </x:row>
    <x:row r="19">
      <x:c r="A19" s="218" t="str">
        <x:v>ACCEPTED RANGE / JUDGING</x:v>
      </x:c>
      <x:c r="B19" s="219"/>
      <x:c r="C19" s="219"/>
      <x:c r="D19" s="219"/>
      <x:c r="E19" s="219"/>
      <x:c r="F19" s="220"/>
    </x:row>
    <x:row r="20">
      <x:c r="A20" s="250" t="str">
        <x:f>IF($B$4="Reveal",IFERROR(INDEX('Game Bank'!$E$2:$E$121,MATCH($B$3,'Game Bank'!$A$2:$A$121,0)),""),"Hidden until reveal")</x:f>
        <x:v>Hidden until reveal</x:v>
      </x:c>
      <x:c r="B20" s="167"/>
      <x:c r="C20" s="167"/>
      <x:c r="D20" s="167"/>
      <x:c r="E20" s="167"/>
      <x:c r="F20" s="251"/>
    </x:row>
    <x:row r="21">
      <x:c r="A21" s="252"/>
      <x:c r="B21" s="253"/>
      <x:c r="C21" s="253"/>
      <x:c r="D21" s="253"/>
      <x:c r="E21" s="253"/>
      <x:c r="F21" s="254"/>
    </x:row>
    <x:row r="22">
      <x:c r="A22" s="112"/>
      <x:c r="B22" s="112"/>
      <x:c r="C22" s="112"/>
      <x:c r="D22" s="112"/>
      <x:c r="E22" s="112"/>
      <x:c r="F22" s="112"/>
    </x:row>
    <x:row r="23">
      <x:c r="A23" s="218" t="str">
        <x:v>BACKGROUND</x:v>
      </x:c>
      <x:c r="B23" s="219"/>
      <x:c r="C23" s="219"/>
      <x:c r="D23" s="219"/>
      <x:c r="E23" s="219"/>
      <x:c r="F23" s="220"/>
    </x:row>
    <x:row r="24">
      <x:c r="A24" s="260" t="str">
        <x:f>IF($B$4="Reveal",IFERROR(INDEX('Game Bank'!$F$2:$F$121,MATCH($B$3,'Game Bank'!$A$2:$A$121,0)),""),"Hidden until reveal")</x:f>
        <x:v>Hidden until reveal</x:v>
      </x:c>
      <x:c r="B24" s="172"/>
      <x:c r="C24" s="172"/>
      <x:c r="D24" s="172"/>
      <x:c r="E24" s="172"/>
      <x:c r="F24" s="261"/>
    </x:row>
    <x:row r="25">
      <x:c r="A25" s="260"/>
      <x:c r="B25" s="172"/>
      <x:c r="C25" s="172"/>
      <x:c r="D25" s="172"/>
      <x:c r="E25" s="172"/>
      <x:c r="F25" s="261"/>
    </x:row>
    <x:row r="26">
      <x:c r="A26" s="260"/>
      <x:c r="B26" s="172"/>
      <x:c r="C26" s="172"/>
      <x:c r="D26" s="172"/>
      <x:c r="E26" s="172"/>
      <x:c r="F26" s="261"/>
    </x:row>
    <x:row r="27">
      <x:c r="A27" s="262"/>
      <x:c r="B27" s="263"/>
      <x:c r="C27" s="263"/>
      <x:c r="D27" s="263"/>
      <x:c r="E27" s="263"/>
      <x:c r="F27" s="264"/>
    </x:row>
    <x:row r="28">
      <x:c r="A28" s="112"/>
      <x:c r="B28" s="112"/>
      <x:c r="C28" s="112"/>
      <x:c r="D28" s="112"/>
      <x:c r="E28" s="112"/>
      <x:c r="F28" s="112"/>
    </x:row>
    <x:row r="29">
      <x:c r="A29" s="218" t="str">
        <x:v>REFERENCE 1</x:v>
      </x:c>
      <x:c r="B29" s="219"/>
      <x:c r="C29" s="219"/>
      <x:c r="D29" s="219" t="str">
        <x:v>REFERENCE 2</x:v>
      </x:c>
      <x:c r="E29" s="219"/>
      <x:c r="F29" s="220"/>
    </x:row>
    <x:row r="30">
      <x:c r="A30" s="270" t="str">
        <x:f>IF($B$4="Reveal",IFERROR(INDEX('Game Bank'!$G$2:$G$121,MATCH($B$3,'Game Bank'!$A$2:$A$121,0)),""),"Hidden")</x:f>
        <x:v>Hidden</x:v>
      </x:c>
      <x:c r="B30" s="271"/>
      <x:c r="C30" s="271"/>
      <x:c r="D30" s="271" t="str">
        <x:f>IF($B$4="Reveal",IFERROR(INDEX('Game Bank'!$H$2:$H$121,MATCH($B$3,'Game Bank'!$A$2:$A$121,0)),""),"Hidden")</x:f>
        <x:v>Hidden</x:v>
      </x:c>
      <x:c r="E30" s="271"/>
      <x:c r="F30" s="272"/>
    </x:row>
    <x:row r="31">
      <x:c r="A31" s="112"/>
      <x:c r="B31" s="112"/>
      <x:c r="C31" s="112"/>
      <x:c r="D31" s="112"/>
      <x:c r="E31" s="112"/>
      <x:c r="F31" s="112"/>
    </x:row>
    <x:row r="32">
      <x:c r="A32" s="218" t="str">
        <x:v>FORMULA RESULT</x:v>
      </x:c>
      <x:c r="B32" s="219"/>
      <x:c r="C32" s="219"/>
      <x:c r="D32" s="219" t="str">
        <x:v>UNIT</x:v>
      </x:c>
      <x:c r="E32" s="219"/>
      <x:c r="F32" s="220"/>
    </x:row>
    <x:row r="33">
      <x:c r="A33" s="276" t="str">
        <x:f>IF($B$4="Reveal",IFERROR(INDEX('Game Bank'!$M$2:$M$121,MATCH($B$3,'Game Bank'!$A$2:$A$121,0)),""),"Hidden")</x:f>
        <x:v>Hidden</x:v>
      </x:c>
      <x:c r="B33" s="277"/>
      <x:c r="C33" s="277"/>
      <x:c r="D33" s="278" t="str">
        <x:f>IF($B$4="Reveal",IFERROR(INDEX('Game Bank'!$N$2:$N$121,MATCH($B$3,'Game Bank'!$A$2:$A$121,0)),""),"Hidden")</x:f>
        <x:v>Hidden</x:v>
      </x:c>
      <x:c r="E33" s="278"/>
      <x:c r="F33" s="279"/>
    </x:row>
    <x:row r="34">
      <x:c r="A34" s="112"/>
      <x:c r="B34" s="112"/>
      <x:c r="C34" s="112"/>
      <x:c r="D34" s="112"/>
      <x:c r="E34" s="112"/>
      <x:c r="F34" s="112"/>
    </x:row>
    <x:row r="35">
      <x:c r="A35" s="112"/>
      <x:c r="B35" s="112"/>
      <x:c r="C35" s="112"/>
      <x:c r="D35" s="112"/>
      <x:c r="E35" s="112"/>
      <x:c r="F35" s="112"/>
    </x:row>
    <x:row r="36">
      <x:c r="A36" s="112"/>
      <x:c r="B36" s="112"/>
      <x:c r="C36" s="112"/>
      <x:c r="D36" s="112"/>
      <x:c r="E36" s="112"/>
      <x:c r="F36" s="112"/>
    </x:row>
    <x:row r="37">
      <x:c r="A37" s="112"/>
      <x:c r="B37" s="112"/>
      <x:c r="C37" s="112"/>
      <x:c r="D37" s="112"/>
      <x:c r="E37" s="112"/>
      <x:c r="F37" s="112"/>
    </x:row>
    <x:row r="38">
      <x:c r="A38" s="112"/>
      <x:c r="B38" s="112"/>
      <x:c r="C38" s="112"/>
      <x:c r="D38" s="112"/>
      <x:c r="E38" s="112"/>
      <x:c r="F38" s="112"/>
    </x:row>
    <x:row r="39">
      <x:c r="A39" s="112"/>
      <x:c r="B39" s="112"/>
      <x:c r="C39" s="112"/>
      <x:c r="D39" s="112"/>
      <x:c r="E39" s="112"/>
      <x:c r="F39" s="112"/>
    </x:row>
    <x:row r="40">
      <x:c r="A40" s="112"/>
      <x:c r="B40" s="112"/>
      <x:c r="C40" s="112"/>
      <x:c r="D40" s="112"/>
      <x:c r="E40" s="112"/>
      <x:c r="F40" s="112"/>
    </x:row>
  </x:sheetData>
  <x:mergeCells>
    <x:mergeCell ref="A1:F1"/>
    <x:mergeCell ref="A6:F6"/>
    <x:mergeCell ref="A7:F9"/>
    <x:mergeCell ref="A11:C11"/>
    <x:mergeCell ref="D11:F11"/>
    <x:mergeCell ref="A12:C12"/>
    <x:mergeCell ref="D12:F12"/>
    <x:mergeCell ref="A14:F14"/>
    <x:mergeCell ref="A15:F17"/>
    <x:mergeCell ref="A19:F19"/>
    <x:mergeCell ref="A20:F21"/>
    <x:mergeCell ref="A23:F23"/>
    <x:mergeCell ref="A24:F27"/>
    <x:mergeCell ref="A29:C29"/>
    <x:mergeCell ref="D29:F29"/>
    <x:mergeCell ref="A30:C30"/>
    <x:mergeCell ref="D30:F30"/>
    <x:mergeCell ref="A32:C32"/>
    <x:mergeCell ref="D32:F32"/>
    <x:mergeCell ref="A33:C33"/>
    <x:mergeCell ref="D33:F33"/>
  </x:mergeCells>
  <x:dataValidations count="2">
    <x:dataValidation operator="between" sqref="B3">
      <x:formula1>1</x:formula1>
      <x:formula2>120</x:formula2>
    </x:dataValidation>
    <x:dataValidation type="list" sqref="B4">
      <x:formula1>"Hidden,Reveal"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0" hidden="0" customWidth="1"/>
    <x:col min="4" max="4" width="62" hidden="0" customWidth="1"/>
  </x:cols>
  <x:sheetData>
    <x:row r="1" ht="32" customHeight="1">
      <x:c r="A1" s="108" t="str">
        <x:v>Bible Price Is Right — Inputs &amp; Rules</x:v>
      </x:c>
      <x:c r="B1" s="108"/>
      <x:c r="C1" s="108"/>
      <x:c r="D1" s="108"/>
    </x:row>
    <x:row r="3" ht="28" customHeight="1">
      <x:c r="A3" s="6" t="str">
        <x:v>Input</x:v>
      </x:c>
      <x:c r="B3" s="6" t="str">
        <x:v>Value</x:v>
      </x:c>
      <x:c r="C3" s="6" t="str">
        <x:v>Unit</x:v>
      </x:c>
      <x:c r="D3" s="6" t="str">
        <x:v>Notes / Source</x:v>
      </x:c>
    </x:row>
    <x:row r="4" ht="28" customHeight="1">
      <x:c r="A4" s="114" t="str">
        <x:v>Gold spot price</x:v>
      </x:c>
      <x:c r="B4" s="116" t="n">
        <x:v>4011.29</x:v>
      </x:c>
      <x:c r="C4" s="112" t="str">
        <x:v>USD per troy oz</x:v>
      </x:c>
      <x:c r="D4" s="112" t="str">
        <x:v>Editable. Reuters spot price reported July 17, 2026.</x:v>
      </x:c>
    </x:row>
    <x:row r="5" ht="28" customHeight="1">
      <x:c r="A5" s="114" t="str">
        <x:v>Silver spot price</x:v>
      </x:c>
      <x:c r="B5" s="116" t="n">
        <x:v>56.06</x:v>
      </x:c>
      <x:c r="C5" s="112" t="str">
        <x:v>USD per troy oz</x:v>
      </x:c>
      <x:c r="D5" s="112" t="str">
        <x:v>Editable. Reuters spot price reported July 17, 2026.</x:v>
      </x:c>
    </x:row>
    <x:row r="6" ht="28" customHeight="1">
      <x:c r="A6" s="114" t="str">
        <x:v>Talent weight</x:v>
      </x:c>
      <x:c r="B6" s="116" t="n">
        <x:v>34</x:v>
      </x:c>
      <x:c r="C6" s="112" t="str">
        <x:v>kg</x:v>
      </x:c>
      <x:c r="D6" s="112" t="str">
        <x:v>Classroom assumption; ancient talents varied by place and period.</x:v>
      </x:c>
    </x:row>
    <x:row r="7" ht="28" customHeight="1">
      <x:c r="A7" s="114" t="str">
        <x:v>Shekels per talent</x:v>
      </x:c>
      <x:c r="B7" s="116" t="n">
        <x:v>3000</x:v>
      </x:c>
      <x:c r="C7" s="112" t="str">
        <x:v>shekels</x:v>
      </x:c>
      <x:c r="D7" s="112" t="str">
        <x:v>Exodus 38 supports the 3,000-shekel conversion.</x:v>
      </x:c>
    </x:row>
    <x:row r="8" ht="28" customHeight="1">
      <x:c r="A8" s="114" t="str">
        <x:v>Shekel weight</x:v>
      </x:c>
      <x:c r="B8" s="116" t="n">
        <x:f>B6*1000/B7</x:f>
        <x:v>11.333333333333334</x:v>
      </x:c>
      <x:c r="C8" s="112" t="str">
        <x:v>grams</x:v>
      </x:c>
      <x:c r="D8" s="112" t="str">
        <x:v>Calculated from talent weight ÷ 3,000.</x:v>
      </x:c>
    </x:row>
    <x:row r="9" ht="28" customHeight="1">
      <x:c r="A9" s="114" t="str">
        <x:v>Troy ounces per kilogram</x:v>
      </x:c>
      <x:c r="B9" s="116" t="n">
        <x:v>32.1507466</x:v>
      </x:c>
      <x:c r="C9" s="112" t="str">
        <x:v>troy oz</x:v>
      </x:c>
      <x:c r="D9" s="112" t="str">
        <x:v>Standard mass conversion.</x:v>
      </x:c>
    </x:row>
    <x:row r="10" ht="28" customHeight="1">
      <x:c r="A10" s="114" t="str">
        <x:v>Denarii per NT talent</x:v>
      </x:c>
      <x:c r="B10" s="116" t="n">
        <x:v>6000</x:v>
      </x:c>
      <x:c r="C10" s="112" t="str">
        <x:v>denarii</x:v>
      </x:c>
      <x:c r="D10" s="112" t="str">
        <x:v>Common conversion used for Matthew 18 calculations.</x:v>
      </x:c>
    </x:row>
    <x:row r="11" ht="28" customHeight="1">
      <x:c r="A11" s="114" t="str">
        <x:v>Workdays per year</x:v>
      </x:c>
      <x:c r="B11" s="116" t="n">
        <x:v>365</x:v>
      </x:c>
      <x:c r="C11" s="112" t="str">
        <x:v>days</x:v>
      </x:c>
      <x:c r="D11" s="112" t="str">
        <x:v>Used only to illustrate the impossible debt in Matthew 18.</x:v>
      </x:c>
    </x:row>
    <x:row r="12" ht="28" customHeight="1">
      <x:c r="A12" s="114"/>
      <x:c r="B12" s="116"/>
      <x:c r="C12" s="112"/>
      <x:c r="D12" s="112"/>
    </x:row>
    <x:row r="15">
      <x:c r="A15" s="120" t="str">
        <x:v>Recommended Game Rules</x:v>
      </x:c>
      <x:c r="B15" s="120"/>
      <x:c r="C15" s="120"/>
      <x:c r="D15" s="120"/>
    </x:row>
    <x:row r="16" ht="28" customHeight="1">
      <x:c r="A16" s="112" t="str">
        <x:v>1. Teams bid without going over. Closest valid bid wins the point.</x:v>
      </x:c>
      <x:c r="B16" s="112"/>
      <x:c r="C16" s="112"/>
      <x:c r="D16" s="112"/>
    </x:row>
    <x:row r="17" ht="28" customHeight="1">
      <x:c r="A17" s="112" t="str">
        <x:v>2. Use the Accepted Answer / Range column for judging. Exact questions should be scored exactly.</x:v>
      </x:c>
      <x:c r="B17" s="112"/>
      <x:c r="C17" s="112"/>
      <x:c r="D17" s="112"/>
    </x:row>
    <x:row r="18" ht="28" customHeight="1">
      <x:c r="A18" s="112" t="str">
        <x:v>3. Archaeological estimates are intentionally broad. Explain that scholars disagree.</x:v>
      </x:c>
      <x:c r="B18" s="112"/>
      <x:c r="C18" s="112"/>
      <x:c r="D18" s="112"/>
    </x:row>
    <x:row r="19" ht="28" customHeight="1">
      <x:c r="A19" s="112" t="str">
        <x:v>4. Modern dollar values are raw metal values, not ancient purchasing power.</x:v>
      </x:c>
      <x:c r="B19" s="112"/>
      <x:c r="C19" s="112"/>
      <x:c r="D19" s="112"/>
    </x:row>
    <x:row r="20" ht="28" customHeight="1">
      <x:c r="A20" s="112" t="str">
        <x:v>5. For textual parallel differences, accept either answer only when the team identifies the correct passage.</x:v>
      </x:c>
      <x:c r="B20" s="112"/>
      <x:c r="C20" s="112"/>
      <x:c r="D20" s="112"/>
    </x:row>
    <x:row r="21" ht="28" customHeight="1">
      <x:c r="A21" s="112" t="str">
        <x:v>6. Change gold or silver prices above whenever you want updated dollar-value questions.</x:v>
      </x:c>
      <x:c r="B21" s="112"/>
      <x:c r="C21" s="112"/>
      <x:c r="D21" s="112"/>
    </x:row>
    <x:row r="24">
      <x:c r="A24" s="6" t="str">
        <x:v>Category</x:v>
      </x:c>
      <x:c r="B24" s="6" t="str">
        <x:v>Questions</x:v>
      </x:c>
      <x:c r="C24" s="6" t="str">
        <x:v>Suggested Rounds</x:v>
      </x:c>
    </x:row>
    <x:row r="25">
      <x:c r="A25" s="112" t="str">
        <x:v>Money &amp; Value</x:v>
      </x:c>
      <x:c r="B25" s="124" t="n">
        <x:f>COUNTIF('Game Bank'!$B$2:$B$121,A25)</x:f>
        <x:v>20</x:v>
      </x:c>
      <x:c r="C25" s="112" t="str">
        <x:v>2–4</x:v>
      </x:c>
    </x:row>
    <x:row r="26">
      <x:c r="A26" s="112" t="str">
        <x:v>Measurements &amp; Construction</x:v>
      </x:c>
      <x:c r="B26" s="124" t="n">
        <x:f>COUNTIF('Game Bank'!$B$2:$B$121,A26)</x:f>
        <x:v>20</x:v>
      </x:c>
      <x:c r="C26" s="112" t="str">
        <x:v>2–4</x:v>
      </x:c>
    </x:row>
    <x:row r="27">
      <x:c r="A27" s="112" t="str">
        <x:v>Armies, Crowds &amp; Censuses</x:v>
      </x:c>
      <x:c r="B27" s="124" t="n">
        <x:f>COUNTIF('Game Bank'!$B$2:$B$121,A27)</x:f>
        <x:v>25</x:v>
      </x:c>
      <x:c r="C27" s="112" t="str">
        <x:v>2–4</x:v>
      </x:c>
    </x:row>
    <x:row r="28">
      <x:c r="A28" s="112" t="str">
        <x:v>Ages &amp; Time</x:v>
      </x:c>
      <x:c r="B28" s="124" t="n">
        <x:f>COUNTIF('Game Bank'!$B$2:$B$121,A28)</x:f>
        <x:v>25</x:v>
      </x:c>
      <x:c r="C28" s="112" t="str">
        <x:v>2–4</x:v>
      </x:c>
    </x:row>
    <x:row r="29">
      <x:c r="A29" s="112" t="str">
        <x:v>Food, Animals &amp; Objects</x:v>
      </x:c>
      <x:c r="B29" s="124" t="n">
        <x:f>COUNTIF('Game Bank'!$B$2:$B$121,A29)</x:f>
        <x:v>20</x:v>
      </x:c>
      <x:c r="C29" s="112" t="str">
        <x:v>2–4</x:v>
      </x:c>
    </x:row>
    <x:row r="30">
      <x:c r="A30" s="112" t="str">
        <x:v>Cities &amp; Archaeology</x:v>
      </x:c>
      <x:c r="B30" s="124" t="n">
        <x:f>COUNTIF('Game Bank'!$B$2:$B$121,A30)</x:f>
        <x:v>10</x:v>
      </x:c>
      <x:c r="C30" s="112" t="str">
        <x:v>2–4</x:v>
      </x:c>
    </x:row>
  </x:sheetData>
  <x:mergeCells>
    <x:mergeCell ref="A1:D1"/>
    <x:mergeCell ref="A15:D15"/>
    <x:mergeCell ref="A16:D16"/>
    <x:mergeCell ref="A17:D17"/>
    <x:mergeCell ref="A18:D18"/>
    <x:mergeCell ref="A19:D19"/>
    <x:mergeCell ref="A20:D20"/>
    <x:mergeCell ref="A21:D21"/>
  </x:mergeCells>
  <x:pageMargins left="0.7" right="0.7" top="0.75" bottom="0.75" header="0.3" footer="0.3"/>
</x:worksheet>
</file>